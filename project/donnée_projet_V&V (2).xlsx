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triton.meca.polymtl.ca\usagers\p118286\profiles\downloads\"/>
    </mc:Choice>
  </mc:AlternateContent>
  <xr:revisionPtr revIDLastSave="0" documentId="13_ncr:1_{AF6EFFFF-B28E-48CB-ADB6-CF74542080F4}" xr6:coauthVersionLast="47" xr6:coauthVersionMax="47" xr10:uidLastSave="{00000000-0000-0000-0000-000000000000}"/>
  <bookViews>
    <workbookView xWindow="-28920" yWindow="-120" windowWidth="29040" windowHeight="15720" activeTab="3" xr2:uid="{079CBFEE-0671-4FBF-8E75-070842FD37A1}"/>
  </bookViews>
  <sheets>
    <sheet name="GENERAL" sheetId="1" r:id="rId1"/>
    <sheet name="EXPERIMENTAL" sheetId="3" r:id="rId2"/>
    <sheet name="INCERTITUDES" sheetId="5" r:id="rId3"/>
    <sheet name="SIMULATIO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5" l="1"/>
  <c r="N14" i="5"/>
  <c r="N20" i="5"/>
  <c r="N26" i="5"/>
  <c r="N32" i="5"/>
  <c r="N2" i="5"/>
  <c r="M8" i="5"/>
  <c r="M14" i="5"/>
  <c r="M20" i="5"/>
  <c r="M26" i="5"/>
  <c r="M32" i="5"/>
  <c r="M2" i="5"/>
  <c r="K8" i="5"/>
  <c r="K14" i="5"/>
  <c r="K20" i="5"/>
  <c r="K26" i="5"/>
  <c r="K32" i="5"/>
  <c r="K2" i="5"/>
  <c r="J8" i="5"/>
  <c r="J14" i="5"/>
  <c r="J20" i="5"/>
  <c r="J26" i="5"/>
  <c r="J32" i="5"/>
  <c r="J2" i="5"/>
  <c r="I8" i="5"/>
  <c r="I14" i="5"/>
  <c r="I20" i="5"/>
  <c r="I26" i="5"/>
  <c r="I32" i="5"/>
  <c r="I2" i="5"/>
  <c r="F8" i="5"/>
  <c r="G8" i="5" s="1"/>
  <c r="F14" i="5"/>
  <c r="G14" i="5" s="1"/>
  <c r="F20" i="5"/>
  <c r="F26" i="5"/>
  <c r="F32" i="5"/>
  <c r="G32" i="5" s="1"/>
  <c r="F2" i="5"/>
  <c r="G2" i="5"/>
  <c r="C8" i="5"/>
  <c r="C14" i="5"/>
  <c r="C20" i="5"/>
  <c r="C26" i="5"/>
  <c r="C32" i="5"/>
  <c r="C2" i="5"/>
  <c r="G20" i="5"/>
  <c r="H32" i="5"/>
  <c r="H8" i="5"/>
  <c r="H14" i="5"/>
  <c r="H20" i="5"/>
  <c r="H26" i="5"/>
  <c r="H2" i="5"/>
  <c r="G26" i="5"/>
  <c r="E26" i="5"/>
  <c r="E32" i="5"/>
  <c r="E20" i="5"/>
  <c r="E14" i="5"/>
  <c r="E8" i="5"/>
  <c r="E2" i="5"/>
  <c r="L11" i="3" l="1"/>
  <c r="L17" i="3"/>
  <c r="L5" i="3"/>
  <c r="F11" i="3"/>
  <c r="F17" i="3"/>
  <c r="F5" i="3"/>
  <c r="K23" i="2"/>
  <c r="K16" i="2"/>
  <c r="K17" i="2"/>
  <c r="K18" i="2"/>
  <c r="K19" i="2"/>
  <c r="K20" i="2"/>
  <c r="K21" i="2"/>
  <c r="K22" i="2"/>
  <c r="K13" i="2"/>
  <c r="F35" i="1"/>
  <c r="F29" i="1"/>
  <c r="F23" i="1"/>
  <c r="F17" i="1"/>
  <c r="F11" i="1"/>
  <c r="F5" i="1"/>
</calcChain>
</file>

<file path=xl/sharedStrings.xml><?xml version="1.0" encoding="utf-8"?>
<sst xmlns="http://schemas.openxmlformats.org/spreadsheetml/2006/main" count="115" uniqueCount="65">
  <si>
    <t>Éprouvette</t>
  </si>
  <si>
    <t>Longueur mesurée</t>
  </si>
  <si>
    <t>vitesse de déplacement</t>
  </si>
  <si>
    <t>Déplacement imposé</t>
  </si>
  <si>
    <t>incertitude</t>
  </si>
  <si>
    <t>masse</t>
  </si>
  <si>
    <t>1.18</t>
  </si>
  <si>
    <t>Diametre mesuré</t>
  </si>
  <si>
    <t>mm</t>
  </si>
  <si>
    <t>g</t>
  </si>
  <si>
    <t>mm/s</t>
  </si>
  <si>
    <t>N</t>
  </si>
  <si>
    <t>1.10</t>
  </si>
  <si>
    <t>1.13</t>
  </si>
  <si>
    <t>1.12</t>
  </si>
  <si>
    <t>1.15</t>
  </si>
  <si>
    <t>#</t>
  </si>
  <si>
    <t>Test</t>
  </si>
  <si>
    <t>Distance supports</t>
  </si>
  <si>
    <t>Diamètre supports</t>
  </si>
  <si>
    <t>4,3mm</t>
  </si>
  <si>
    <r>
      <t xml:space="preserve">Force résultante sur une éprouvette de TPU avec une distance de </t>
    </r>
    <r>
      <rPr>
        <b/>
        <sz val="11"/>
        <color theme="1"/>
        <rFont val="Aptos Narrow"/>
        <family val="2"/>
        <scheme val="minor"/>
      </rPr>
      <t>60mm</t>
    </r>
    <r>
      <rPr>
        <sz val="11"/>
        <color theme="1"/>
        <rFont val="Aptos Narrow"/>
        <family val="2"/>
        <scheme val="minor"/>
      </rPr>
      <t xml:space="preserve"> entre les supports et un déplacement de</t>
    </r>
    <r>
      <rPr>
        <b/>
        <sz val="11"/>
        <color theme="1"/>
        <rFont val="Aptos Narrow"/>
        <family val="2"/>
        <scheme val="minor"/>
      </rPr>
      <t xml:space="preserve"> 5mm</t>
    </r>
    <r>
      <rPr>
        <sz val="11"/>
        <color theme="1"/>
        <rFont val="Aptos Narrow"/>
        <family val="2"/>
        <scheme val="minor"/>
      </rPr>
      <t xml:space="preserve"> imposé au centre du beam</t>
    </r>
  </si>
  <si>
    <r>
      <t xml:space="preserve">Force résultante sur une éprouvette de TPU avec une distance de </t>
    </r>
    <r>
      <rPr>
        <b/>
        <sz val="11"/>
        <color theme="1"/>
        <rFont val="Aptos Narrow"/>
        <family val="2"/>
        <scheme val="minor"/>
      </rPr>
      <t>60mm</t>
    </r>
    <r>
      <rPr>
        <sz val="11"/>
        <color theme="1"/>
        <rFont val="Aptos Narrow"/>
        <family val="2"/>
        <scheme val="minor"/>
      </rPr>
      <t xml:space="preserve"> entre les supports et un déplacement de 3</t>
    </r>
    <r>
      <rPr>
        <b/>
        <sz val="11"/>
        <color theme="1"/>
        <rFont val="Aptos Narrow"/>
        <family val="2"/>
        <scheme val="minor"/>
      </rPr>
      <t>mm</t>
    </r>
    <r>
      <rPr>
        <sz val="11"/>
        <color theme="1"/>
        <rFont val="Aptos Narrow"/>
        <family val="2"/>
        <scheme val="minor"/>
      </rPr>
      <t xml:space="preserve"> imposé au centre du beam</t>
    </r>
  </si>
  <si>
    <r>
      <t>Force résultante sur une éprouvette de TPU avec une distance de 40</t>
    </r>
    <r>
      <rPr>
        <b/>
        <sz val="11"/>
        <color theme="1"/>
        <rFont val="Aptos Narrow"/>
        <family val="2"/>
        <scheme val="minor"/>
      </rPr>
      <t>mm</t>
    </r>
    <r>
      <rPr>
        <sz val="11"/>
        <color theme="1"/>
        <rFont val="Aptos Narrow"/>
        <family val="2"/>
        <scheme val="minor"/>
      </rPr>
      <t xml:space="preserve"> entre les supports et un déplacement de</t>
    </r>
    <r>
      <rPr>
        <b/>
        <sz val="11"/>
        <color theme="1"/>
        <rFont val="Aptos Narrow"/>
        <family val="2"/>
        <scheme val="minor"/>
      </rPr>
      <t xml:space="preserve"> 5mm</t>
    </r>
    <r>
      <rPr>
        <sz val="11"/>
        <color theme="1"/>
        <rFont val="Aptos Narrow"/>
        <family val="2"/>
        <scheme val="minor"/>
      </rPr>
      <t xml:space="preserve"> imposé au centre du beam</t>
    </r>
  </si>
  <si>
    <r>
      <t>Force résultante sur une éprouvette de TPU avec une distance de 40</t>
    </r>
    <r>
      <rPr>
        <b/>
        <sz val="11"/>
        <color theme="1"/>
        <rFont val="Aptos Narrow"/>
        <family val="2"/>
        <scheme val="minor"/>
      </rPr>
      <t>mm</t>
    </r>
    <r>
      <rPr>
        <sz val="11"/>
        <color theme="1"/>
        <rFont val="Aptos Narrow"/>
        <family val="2"/>
        <scheme val="minor"/>
      </rPr>
      <t xml:space="preserve"> entre les supports et un déplacement de 3</t>
    </r>
    <r>
      <rPr>
        <b/>
        <sz val="11"/>
        <color theme="1"/>
        <rFont val="Aptos Narrow"/>
        <family val="2"/>
        <scheme val="minor"/>
      </rPr>
      <t>mm</t>
    </r>
    <r>
      <rPr>
        <sz val="11"/>
        <color theme="1"/>
        <rFont val="Aptos Narrow"/>
        <family val="2"/>
        <scheme val="minor"/>
      </rPr>
      <t xml:space="preserve"> imposé au centre du beam</t>
    </r>
  </si>
  <si>
    <t>fréquence</t>
  </si>
  <si>
    <t>hz</t>
  </si>
  <si>
    <t>Sampling rate</t>
  </si>
  <si>
    <t>40.02</t>
  </si>
  <si>
    <t>Force résultante Expérimentale</t>
  </si>
  <si>
    <t>Force résultante Simulée</t>
  </si>
  <si>
    <r>
      <t>Force résultante sur une éprouvette de TPU avec une distance de 40</t>
    </r>
    <r>
      <rPr>
        <b/>
        <sz val="11"/>
        <color theme="1"/>
        <rFont val="Aptos Narrow"/>
        <family val="2"/>
        <scheme val="minor"/>
      </rPr>
      <t>mm</t>
    </r>
    <r>
      <rPr>
        <sz val="11"/>
        <color theme="1"/>
        <rFont val="Aptos Narrow"/>
        <family val="2"/>
        <scheme val="minor"/>
      </rPr>
      <t xml:space="preserve"> entre les supports et un déplacement de 4</t>
    </r>
    <r>
      <rPr>
        <b/>
        <sz val="11"/>
        <color theme="1"/>
        <rFont val="Aptos Narrow"/>
        <family val="2"/>
        <scheme val="minor"/>
      </rPr>
      <t>mm</t>
    </r>
    <r>
      <rPr>
        <sz val="11"/>
        <color theme="1"/>
        <rFont val="Aptos Narrow"/>
        <family val="2"/>
        <scheme val="minor"/>
      </rPr>
      <t xml:space="preserve"> imposé au centre du beam</t>
    </r>
  </si>
  <si>
    <r>
      <t xml:space="preserve">Force résultante sur une éprouvette de TPU avec une distance de </t>
    </r>
    <r>
      <rPr>
        <b/>
        <sz val="11"/>
        <color theme="1"/>
        <rFont val="Aptos Narrow"/>
        <family val="2"/>
        <scheme val="minor"/>
      </rPr>
      <t>60mm</t>
    </r>
    <r>
      <rPr>
        <sz val="11"/>
        <color theme="1"/>
        <rFont val="Aptos Narrow"/>
        <family val="2"/>
        <scheme val="minor"/>
      </rPr>
      <t xml:space="preserve"> entre les supports et un déplacement de 4</t>
    </r>
    <r>
      <rPr>
        <b/>
        <sz val="11"/>
        <color theme="1"/>
        <rFont val="Aptos Narrow"/>
        <family val="2"/>
        <scheme val="minor"/>
      </rPr>
      <t>mm</t>
    </r>
    <r>
      <rPr>
        <sz val="11"/>
        <color theme="1"/>
        <rFont val="Aptos Narrow"/>
        <family val="2"/>
        <scheme val="minor"/>
      </rPr>
      <t xml:space="preserve"> imposé au centre du beam</t>
    </r>
  </si>
  <si>
    <t>Distance entre supports</t>
  </si>
  <si>
    <t>Déplacement imposé au centre</t>
  </si>
  <si>
    <t xml:space="preserve">Force résultante </t>
  </si>
  <si>
    <t>Taille des éléments</t>
  </si>
  <si>
    <t>Force avec élément quadratique</t>
  </si>
  <si>
    <t>Erreur relative</t>
  </si>
  <si>
    <t>%</t>
  </si>
  <si>
    <t>Les éléments sont linéaire triangulaire sur un modèle 2D. Le matériau est le TPU-60A modélisé par un matériau hyper-élastique. Il est paramétré dans ansys par un polynome de degré 2 avec les coefficients mentionnés dans l'article sur le TPU-60A. Les grands déplacement ont été activés pour tenir compte de l'hyper-élasticité du matériel.</t>
  </si>
  <si>
    <t>Mesh de 0,25 mm utilisé triangulaire et linéaire</t>
  </si>
  <si>
    <t>Mesh de 0,125 mm utilisé triangulaire et linéaire</t>
  </si>
  <si>
    <t>Numéro de spécimen</t>
  </si>
  <si>
    <t>Moyenne</t>
  </si>
  <si>
    <t>SRQ, exp</t>
  </si>
  <si>
    <t>SRQ, model</t>
  </si>
  <si>
    <t xml:space="preserve">u_num </t>
  </si>
  <si>
    <t>u_input</t>
  </si>
  <si>
    <t xml:space="preserve">u_exp_sr </t>
  </si>
  <si>
    <t>u_exp_br</t>
  </si>
  <si>
    <t>u_exp</t>
  </si>
  <si>
    <t>E</t>
  </si>
  <si>
    <t>del_model</t>
  </si>
  <si>
    <t>u_val</t>
  </si>
  <si>
    <t>k u_val</t>
  </si>
  <si>
    <t>x</t>
  </si>
  <si>
    <t>E-k u_val</t>
  </si>
  <si>
    <t>E+k u_val</t>
  </si>
  <si>
    <t>k - u</t>
  </si>
  <si>
    <t>k + u</t>
  </si>
  <si>
    <t>60 mm</t>
  </si>
  <si>
    <t>40 mm</t>
  </si>
  <si>
    <t>3.5 mm</t>
  </si>
  <si>
    <t xml:space="preserve">1 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</si>
</sst>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6"/>
      <color rgb="FF0A0A0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9" fontId="0" fillId="0" borderId="7" xfId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Erreur modèle</a:t>
            </a:r>
            <a:r>
              <a:rPr lang="en-CA" baseline="0"/>
              <a:t> pour espacement 60 mm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Données expérimentales 60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27576852234938121"/>
                  <c:y val="-0.1215327229325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INCERTITUDES!$K$2:$K$19</c:f>
                <c:numCache>
                  <c:formatCode>General</c:formatCode>
                  <c:ptCount val="18"/>
                  <c:pt idx="0">
                    <c:v>9.6136173933573946E-2</c:v>
                  </c:pt>
                  <c:pt idx="6">
                    <c:v>5.9731966899090237E-2</c:v>
                  </c:pt>
                  <c:pt idx="12">
                    <c:v>5.6812268139799907E-2</c:v>
                  </c:pt>
                </c:numCache>
              </c:numRef>
            </c:plus>
            <c:minus>
              <c:numRef>
                <c:f>INCERTITUDES!$K$2:$K$19</c:f>
                <c:numCache>
                  <c:formatCode>General</c:formatCode>
                  <c:ptCount val="18"/>
                  <c:pt idx="0">
                    <c:v>9.6136173933573946E-2</c:v>
                  </c:pt>
                  <c:pt idx="6">
                    <c:v>5.9731966899090237E-2</c:v>
                  </c:pt>
                  <c:pt idx="12">
                    <c:v>5.6812268139799907E-2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INCERTITUDES!$L$2:$L$19</c:f>
              <c:numCache>
                <c:formatCode>General</c:formatCode>
                <c:ptCount val="18"/>
                <c:pt idx="0">
                  <c:v>5</c:v>
                </c:pt>
                <c:pt idx="6">
                  <c:v>4</c:v>
                </c:pt>
                <c:pt idx="12">
                  <c:v>3</c:v>
                </c:pt>
              </c:numCache>
            </c:numRef>
          </c:xVal>
          <c:yVal>
            <c:numRef>
              <c:f>INCERTITUDES!$H$2:$H$19</c:f>
              <c:numCache>
                <c:formatCode>General</c:formatCode>
                <c:ptCount val="18"/>
                <c:pt idx="0">
                  <c:v>-0.29603321112623737</c:v>
                </c:pt>
                <c:pt idx="6">
                  <c:v>-0.24238153174512697</c:v>
                </c:pt>
                <c:pt idx="12">
                  <c:v>-0.19916556249057793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47-4F87-8604-E2FD85C3496B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9.3719218857923337E-2"/>
                  <c:y val="-9.66479455381868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INCERTITUDES!$L$2:$L$19</c:f>
              <c:numCache>
                <c:formatCode>General</c:formatCode>
                <c:ptCount val="18"/>
                <c:pt idx="0">
                  <c:v>5</c:v>
                </c:pt>
                <c:pt idx="6">
                  <c:v>4</c:v>
                </c:pt>
                <c:pt idx="12">
                  <c:v>3</c:v>
                </c:pt>
              </c:numCache>
            </c:numRef>
          </c:xVal>
          <c:yVal>
            <c:numRef>
              <c:f>INCERTITUDES!$M$2:$M$19</c:f>
              <c:numCache>
                <c:formatCode>General</c:formatCode>
                <c:ptCount val="18"/>
                <c:pt idx="0">
                  <c:v>-0.3921693850598113</c:v>
                </c:pt>
                <c:pt idx="6">
                  <c:v>-0.30211349864421722</c:v>
                </c:pt>
                <c:pt idx="12">
                  <c:v>-0.25597783063037782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47-4F87-8604-E2FD85C3496B}"/>
            </c:ext>
          </c:extLst>
        </c:ser>
        <c:ser>
          <c:idx val="5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0.11581153155710816"/>
                  <c:y val="-0.114477089851356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INCERTITUDES!$L$2:$L$19</c:f>
              <c:numCache>
                <c:formatCode>General</c:formatCode>
                <c:ptCount val="18"/>
                <c:pt idx="0">
                  <c:v>5</c:v>
                </c:pt>
                <c:pt idx="6">
                  <c:v>4</c:v>
                </c:pt>
                <c:pt idx="12">
                  <c:v>3</c:v>
                </c:pt>
              </c:numCache>
            </c:numRef>
          </c:xVal>
          <c:yVal>
            <c:numRef>
              <c:f>INCERTITUDES!$N$2:$N$19</c:f>
              <c:numCache>
                <c:formatCode>General</c:formatCode>
                <c:ptCount val="18"/>
                <c:pt idx="0">
                  <c:v>-0.19989703719266344</c:v>
                </c:pt>
                <c:pt idx="6">
                  <c:v>-0.18264956484603673</c:v>
                </c:pt>
                <c:pt idx="12">
                  <c:v>-0.14235329435077804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347-4F87-8604-E2FD85C34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298064"/>
        <c:axId val="372276944"/>
      </c:scatterChart>
      <c:valAx>
        <c:axId val="37229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76944"/>
        <c:crosses val="autoZero"/>
        <c:crossBetween val="midCat"/>
      </c:valAx>
      <c:valAx>
        <c:axId val="3722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Erreur modèle</a:t>
            </a:r>
            <a:r>
              <a:rPr lang="en-CA" baseline="0"/>
              <a:t> pour espacement 40 mm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Données expérimentales 60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2762906657295639"/>
                  <c:y val="-6.73062413502206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INCERTITUDES!$K$20:$K$37</c:f>
                <c:numCache>
                  <c:formatCode>General</c:formatCode>
                  <c:ptCount val="18"/>
                  <c:pt idx="0">
                    <c:v>0.26313725113772696</c:v>
                  </c:pt>
                  <c:pt idx="6">
                    <c:v>0.19767074549472916</c:v>
                  </c:pt>
                  <c:pt idx="12">
                    <c:v>0.18287716723356123</c:v>
                  </c:pt>
                </c:numCache>
              </c:numRef>
            </c:plus>
            <c:minus>
              <c:numRef>
                <c:f>INCERTITUDES!$K$20:$K$37</c:f>
                <c:numCache>
                  <c:formatCode>General</c:formatCode>
                  <c:ptCount val="18"/>
                  <c:pt idx="0">
                    <c:v>0.26313725113772696</c:v>
                  </c:pt>
                  <c:pt idx="6">
                    <c:v>0.19767074549472916</c:v>
                  </c:pt>
                  <c:pt idx="12">
                    <c:v>0.18287716723356123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INCERTITUDES!$L$2:$L$19</c:f>
              <c:numCache>
                <c:formatCode>General</c:formatCode>
                <c:ptCount val="18"/>
                <c:pt idx="0">
                  <c:v>5</c:v>
                </c:pt>
                <c:pt idx="6">
                  <c:v>4</c:v>
                </c:pt>
                <c:pt idx="12">
                  <c:v>3</c:v>
                </c:pt>
              </c:numCache>
            </c:numRef>
          </c:xVal>
          <c:yVal>
            <c:numRef>
              <c:f>INCERTITUDES!$H$20:$H$37</c:f>
              <c:numCache>
                <c:formatCode>General</c:formatCode>
                <c:ptCount val="18"/>
                <c:pt idx="0">
                  <c:v>-0.42861620464994166</c:v>
                </c:pt>
                <c:pt idx="6">
                  <c:v>-0.41926333148298001</c:v>
                </c:pt>
                <c:pt idx="12">
                  <c:v>-0.34328248582925514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FB-4366-AB11-C8746335BCBB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26080510051638744"/>
                  <c:y val="-5.94030556445784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INCERTITUDES!$L$2:$L$19</c:f>
              <c:numCache>
                <c:formatCode>General</c:formatCode>
                <c:ptCount val="18"/>
                <c:pt idx="0">
                  <c:v>5</c:v>
                </c:pt>
                <c:pt idx="6">
                  <c:v>4</c:v>
                </c:pt>
                <c:pt idx="12">
                  <c:v>3</c:v>
                </c:pt>
              </c:numCache>
            </c:numRef>
          </c:xVal>
          <c:yVal>
            <c:numRef>
              <c:f>INCERTITUDES!$M$20:$M$37</c:f>
              <c:numCache>
                <c:formatCode>General</c:formatCode>
                <c:ptCount val="18"/>
                <c:pt idx="0">
                  <c:v>-0.69175345578766856</c:v>
                </c:pt>
                <c:pt idx="6">
                  <c:v>-0.61693407697770919</c:v>
                </c:pt>
                <c:pt idx="12">
                  <c:v>-0.52615965306281631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FB-4366-AB11-C8746335BCBB}"/>
            </c:ext>
          </c:extLst>
        </c:ser>
        <c:ser>
          <c:idx val="5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29706647601472819"/>
                  <c:y val="2.360500526711380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INCERTITUDES!$L$2:$L$19</c:f>
              <c:numCache>
                <c:formatCode>General</c:formatCode>
                <c:ptCount val="18"/>
                <c:pt idx="0">
                  <c:v>5</c:v>
                </c:pt>
                <c:pt idx="6">
                  <c:v>4</c:v>
                </c:pt>
                <c:pt idx="12">
                  <c:v>3</c:v>
                </c:pt>
              </c:numCache>
            </c:numRef>
          </c:xVal>
          <c:yVal>
            <c:numRef>
              <c:f>INCERTITUDES!$N$20:$N$37</c:f>
              <c:numCache>
                <c:formatCode>General</c:formatCode>
                <c:ptCount val="18"/>
                <c:pt idx="0">
                  <c:v>-0.1654789535122147</c:v>
                </c:pt>
                <c:pt idx="6">
                  <c:v>-0.22159258598825085</c:v>
                </c:pt>
                <c:pt idx="12">
                  <c:v>-0.1604053185956939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FB-4366-AB11-C8746335B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298064"/>
        <c:axId val="372276944"/>
      </c:scatterChart>
      <c:valAx>
        <c:axId val="37229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76944"/>
        <c:crosses val="autoZero"/>
        <c:crossBetween val="midCat"/>
      </c:valAx>
      <c:valAx>
        <c:axId val="3722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145089</xdr:colOff>
      <xdr:row>8</xdr:row>
      <xdr:rowOff>12846</xdr:rowOff>
    </xdr:from>
    <xdr:to>
      <xdr:col>22</xdr:col>
      <xdr:colOff>220403</xdr:colOff>
      <xdr:row>23</xdr:row>
      <xdr:rowOff>75756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01635C-EAEC-0000-C3C1-A08C70EC6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25</xdr:row>
      <xdr:rowOff>0</xdr:rowOff>
    </xdr:from>
    <xdr:to>
      <xdr:col>22</xdr:col>
      <xdr:colOff>75314</xdr:colOff>
      <xdr:row>40</xdr:row>
      <xdr:rowOff>62910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3F4020-F16A-41C0-AB91-376DCC577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24EB-14DC-4A17-9567-A0613F504C61}">
  <dimension ref="B1:S40"/>
  <sheetViews>
    <sheetView zoomScale="72" zoomScaleNormal="72" workbookViewId="0">
      <selection activeCell="D5" sqref="D5:D10"/>
    </sheetView>
  </sheetViews>
  <sheetFormatPr defaultRowHeight="15" x14ac:dyDescent="0.25"/>
  <cols>
    <col min="2" max="2" width="29.5703125" customWidth="1"/>
    <col min="3" max="9" width="12.85546875" customWidth="1"/>
    <col min="10" max="10" width="12" customWidth="1"/>
    <col min="12" max="12" width="14.140625" customWidth="1"/>
    <col min="14" max="14" width="12.28515625" customWidth="1"/>
  </cols>
  <sheetData>
    <row r="1" spans="2:19" ht="15.75" thickBot="1" x14ac:dyDescent="0.3"/>
    <row r="2" spans="2:19" ht="60" x14ac:dyDescent="0.25">
      <c r="B2" s="58" t="s">
        <v>17</v>
      </c>
      <c r="C2" s="7" t="s">
        <v>0</v>
      </c>
      <c r="D2" s="7" t="s">
        <v>18</v>
      </c>
      <c r="E2" s="7" t="s">
        <v>3</v>
      </c>
      <c r="F2" s="7" t="s">
        <v>25</v>
      </c>
      <c r="G2" s="7" t="s">
        <v>27</v>
      </c>
      <c r="H2" s="7" t="s">
        <v>2</v>
      </c>
      <c r="I2" s="8" t="s">
        <v>29</v>
      </c>
      <c r="J2" s="8" t="s">
        <v>30</v>
      </c>
      <c r="L2" s="13" t="s">
        <v>19</v>
      </c>
      <c r="N2" s="7" t="s">
        <v>0</v>
      </c>
      <c r="O2" s="7" t="s">
        <v>5</v>
      </c>
      <c r="P2" s="47" t="s">
        <v>7</v>
      </c>
      <c r="Q2" s="47"/>
      <c r="R2" s="47"/>
      <c r="S2" s="7" t="s">
        <v>1</v>
      </c>
    </row>
    <row r="3" spans="2:19" x14ac:dyDescent="0.25">
      <c r="B3" s="59"/>
      <c r="C3" s="9" t="s">
        <v>16</v>
      </c>
      <c r="D3" s="9" t="s">
        <v>8</v>
      </c>
      <c r="E3" s="9" t="s">
        <v>8</v>
      </c>
      <c r="F3" s="9" t="s">
        <v>26</v>
      </c>
      <c r="G3" s="9" t="s">
        <v>26</v>
      </c>
      <c r="H3" s="9" t="s">
        <v>10</v>
      </c>
      <c r="I3" s="10" t="s">
        <v>11</v>
      </c>
      <c r="J3" s="10" t="s">
        <v>11</v>
      </c>
      <c r="L3" s="14" t="s">
        <v>20</v>
      </c>
      <c r="N3" s="9" t="s">
        <v>16</v>
      </c>
      <c r="O3" s="9" t="s">
        <v>9</v>
      </c>
      <c r="P3" s="9" t="s">
        <v>8</v>
      </c>
      <c r="Q3" s="9" t="s">
        <v>8</v>
      </c>
      <c r="R3" s="9" t="s">
        <v>8</v>
      </c>
      <c r="S3" s="9" t="s">
        <v>8</v>
      </c>
    </row>
    <row r="4" spans="2:19" ht="15.75" thickBot="1" x14ac:dyDescent="0.3">
      <c r="B4" s="60"/>
      <c r="C4" s="11" t="s">
        <v>4</v>
      </c>
      <c r="D4" s="11">
        <v>0.01</v>
      </c>
      <c r="E4" s="11"/>
      <c r="F4" s="11"/>
      <c r="G4" s="11"/>
      <c r="H4" s="11"/>
      <c r="I4" s="12"/>
      <c r="J4" s="12"/>
      <c r="N4" s="11" t="s">
        <v>4</v>
      </c>
      <c r="O4" s="11">
        <v>0.01</v>
      </c>
      <c r="P4" s="11">
        <v>0.01</v>
      </c>
      <c r="Q4" s="11">
        <v>0.01</v>
      </c>
      <c r="R4" s="11">
        <v>0.01</v>
      </c>
      <c r="S4" s="11">
        <v>0.01</v>
      </c>
    </row>
    <row r="5" spans="2:19" x14ac:dyDescent="0.25">
      <c r="B5" s="55" t="s">
        <v>21</v>
      </c>
      <c r="C5" s="2">
        <v>1</v>
      </c>
      <c r="D5" s="48">
        <v>59.3</v>
      </c>
      <c r="E5" s="48">
        <v>5</v>
      </c>
      <c r="F5" s="50">
        <f>H5/2/E5</f>
        <v>1</v>
      </c>
      <c r="G5" s="50">
        <v>100</v>
      </c>
      <c r="H5" s="50">
        <v>10</v>
      </c>
      <c r="I5" s="46">
        <v>0.48347321112623737</v>
      </c>
      <c r="J5" s="52">
        <v>0.18744</v>
      </c>
      <c r="N5" s="2">
        <v>1</v>
      </c>
      <c r="O5" s="2" t="s">
        <v>6</v>
      </c>
      <c r="P5" s="2">
        <v>5.0199999999999996</v>
      </c>
      <c r="Q5" s="2">
        <v>4.9800000000000004</v>
      </c>
      <c r="R5" s="2">
        <v>5</v>
      </c>
      <c r="S5" s="2">
        <v>75.010000000000005</v>
      </c>
    </row>
    <row r="6" spans="2:19" x14ac:dyDescent="0.25">
      <c r="B6" s="56"/>
      <c r="C6" s="1">
        <v>2</v>
      </c>
      <c r="D6" s="37"/>
      <c r="E6" s="37"/>
      <c r="F6" s="44"/>
      <c r="G6" s="44"/>
      <c r="H6" s="44"/>
      <c r="I6" s="44"/>
      <c r="J6" s="53"/>
      <c r="N6" s="1">
        <v>2</v>
      </c>
      <c r="O6" s="1" t="s">
        <v>12</v>
      </c>
      <c r="P6" s="1">
        <v>5.01</v>
      </c>
      <c r="Q6" s="1">
        <v>4.99</v>
      </c>
      <c r="R6" s="1">
        <v>5.03</v>
      </c>
      <c r="S6" s="1">
        <v>75.459999999999994</v>
      </c>
    </row>
    <row r="7" spans="2:19" x14ac:dyDescent="0.25">
      <c r="B7" s="56"/>
      <c r="C7" s="1">
        <v>3</v>
      </c>
      <c r="D7" s="37"/>
      <c r="E7" s="37"/>
      <c r="F7" s="44"/>
      <c r="G7" s="44"/>
      <c r="H7" s="44"/>
      <c r="I7" s="44"/>
      <c r="J7" s="53"/>
      <c r="N7" s="1">
        <v>3</v>
      </c>
      <c r="O7" s="1" t="s">
        <v>12</v>
      </c>
      <c r="P7" s="1">
        <v>4.95</v>
      </c>
      <c r="Q7" s="1">
        <v>5.01</v>
      </c>
      <c r="R7" s="1">
        <v>4.96</v>
      </c>
      <c r="S7" s="1">
        <v>75.52</v>
      </c>
    </row>
    <row r="8" spans="2:19" x14ac:dyDescent="0.25">
      <c r="B8" s="56"/>
      <c r="C8" s="1">
        <v>4</v>
      </c>
      <c r="D8" s="37"/>
      <c r="E8" s="37"/>
      <c r="F8" s="44"/>
      <c r="G8" s="44"/>
      <c r="H8" s="44"/>
      <c r="I8" s="44"/>
      <c r="J8" s="53"/>
      <c r="N8" s="1">
        <v>4</v>
      </c>
      <c r="O8" s="1" t="s">
        <v>13</v>
      </c>
      <c r="P8" s="1">
        <v>4.99</v>
      </c>
      <c r="Q8" s="1">
        <v>4.97</v>
      </c>
      <c r="R8" s="1">
        <v>4.97</v>
      </c>
      <c r="S8" s="1">
        <v>75.7</v>
      </c>
    </row>
    <row r="9" spans="2:19" x14ac:dyDescent="0.25">
      <c r="B9" s="56"/>
      <c r="C9" s="1">
        <v>5</v>
      </c>
      <c r="D9" s="37"/>
      <c r="E9" s="37"/>
      <c r="F9" s="44"/>
      <c r="G9" s="44"/>
      <c r="H9" s="44"/>
      <c r="I9" s="44"/>
      <c r="J9" s="53"/>
      <c r="N9" s="1">
        <v>5</v>
      </c>
      <c r="O9" s="1" t="s">
        <v>14</v>
      </c>
      <c r="P9" s="1">
        <v>4.9400000000000004</v>
      </c>
      <c r="Q9" s="1">
        <v>4.83</v>
      </c>
      <c r="R9" s="1">
        <v>4.95</v>
      </c>
      <c r="S9" s="1">
        <v>75.680000000000007</v>
      </c>
    </row>
    <row r="10" spans="2:19" ht="15.75" thickBot="1" x14ac:dyDescent="0.3">
      <c r="B10" s="57"/>
      <c r="C10" s="5">
        <v>6</v>
      </c>
      <c r="D10" s="49"/>
      <c r="E10" s="49"/>
      <c r="F10" s="51"/>
      <c r="G10" s="51"/>
      <c r="H10" s="51"/>
      <c r="I10" s="45"/>
      <c r="J10" s="54"/>
      <c r="N10" s="5">
        <v>6</v>
      </c>
      <c r="O10" s="5" t="s">
        <v>15</v>
      </c>
      <c r="P10" s="5">
        <v>4.97</v>
      </c>
      <c r="Q10" s="5">
        <v>4.93</v>
      </c>
      <c r="R10" s="5">
        <v>4.99</v>
      </c>
      <c r="S10" s="5">
        <v>75.900000000000006</v>
      </c>
    </row>
    <row r="11" spans="2:19" x14ac:dyDescent="0.25">
      <c r="B11" s="55" t="s">
        <v>32</v>
      </c>
      <c r="C11" s="2">
        <v>1</v>
      </c>
      <c r="D11" s="48">
        <v>59.3</v>
      </c>
      <c r="E11" s="50">
        <v>4</v>
      </c>
      <c r="F11" s="50">
        <f>H11/E11/2</f>
        <v>1.25</v>
      </c>
      <c r="G11" s="50">
        <v>100</v>
      </c>
      <c r="H11" s="50">
        <v>10</v>
      </c>
      <c r="I11" s="46">
        <v>0.39177153174512697</v>
      </c>
      <c r="J11" s="52">
        <v>0.14939</v>
      </c>
    </row>
    <row r="12" spans="2:19" x14ac:dyDescent="0.25">
      <c r="B12" s="56"/>
      <c r="C12" s="1">
        <v>2</v>
      </c>
      <c r="D12" s="37"/>
      <c r="E12" s="44"/>
      <c r="F12" s="44"/>
      <c r="G12" s="44"/>
      <c r="H12" s="44"/>
      <c r="I12" s="44"/>
      <c r="J12" s="53"/>
    </row>
    <row r="13" spans="2:19" x14ac:dyDescent="0.25">
      <c r="B13" s="56"/>
      <c r="C13" s="1">
        <v>3</v>
      </c>
      <c r="D13" s="37"/>
      <c r="E13" s="44"/>
      <c r="F13" s="44"/>
      <c r="G13" s="44"/>
      <c r="H13" s="44"/>
      <c r="I13" s="44"/>
      <c r="J13" s="53"/>
    </row>
    <row r="14" spans="2:19" x14ac:dyDescent="0.25">
      <c r="B14" s="56"/>
      <c r="C14" s="1">
        <v>4</v>
      </c>
      <c r="D14" s="37"/>
      <c r="E14" s="44"/>
      <c r="F14" s="44"/>
      <c r="G14" s="44"/>
      <c r="H14" s="44"/>
      <c r="I14" s="44"/>
      <c r="J14" s="53"/>
    </row>
    <row r="15" spans="2:19" x14ac:dyDescent="0.25">
      <c r="B15" s="56"/>
      <c r="C15" s="1">
        <v>5</v>
      </c>
      <c r="D15" s="37"/>
      <c r="E15" s="44"/>
      <c r="F15" s="44"/>
      <c r="G15" s="44"/>
      <c r="H15" s="44"/>
      <c r="I15" s="44"/>
      <c r="J15" s="53"/>
    </row>
    <row r="16" spans="2:19" ht="15.75" thickBot="1" x14ac:dyDescent="0.3">
      <c r="B16" s="57"/>
      <c r="C16" s="5">
        <v>6</v>
      </c>
      <c r="D16" s="49"/>
      <c r="E16" s="51"/>
      <c r="F16" s="51"/>
      <c r="G16" s="51"/>
      <c r="H16" s="51"/>
      <c r="I16" s="45"/>
      <c r="J16" s="54"/>
    </row>
    <row r="17" spans="2:10" x14ac:dyDescent="0.25">
      <c r="B17" s="55" t="s">
        <v>22</v>
      </c>
      <c r="C17" s="2">
        <v>1</v>
      </c>
      <c r="D17" s="48">
        <v>59.3</v>
      </c>
      <c r="E17" s="50">
        <v>3</v>
      </c>
      <c r="F17" s="50">
        <f>H17/2/E17</f>
        <v>1.6666666666666667</v>
      </c>
      <c r="G17" s="50">
        <v>100</v>
      </c>
      <c r="H17" s="50">
        <v>10</v>
      </c>
      <c r="I17" s="46">
        <v>0.31102556249057794</v>
      </c>
      <c r="J17" s="52">
        <v>0.11186</v>
      </c>
    </row>
    <row r="18" spans="2:10" x14ac:dyDescent="0.25">
      <c r="B18" s="56"/>
      <c r="C18" s="1">
        <v>2</v>
      </c>
      <c r="D18" s="37"/>
      <c r="E18" s="44"/>
      <c r="F18" s="44"/>
      <c r="G18" s="44"/>
      <c r="H18" s="44"/>
      <c r="I18" s="44"/>
      <c r="J18" s="53"/>
    </row>
    <row r="19" spans="2:10" x14ac:dyDescent="0.25">
      <c r="B19" s="56"/>
      <c r="C19" s="1">
        <v>3</v>
      </c>
      <c r="D19" s="37"/>
      <c r="E19" s="44"/>
      <c r="F19" s="44"/>
      <c r="G19" s="44"/>
      <c r="H19" s="44"/>
      <c r="I19" s="44"/>
      <c r="J19" s="53"/>
    </row>
    <row r="20" spans="2:10" x14ac:dyDescent="0.25">
      <c r="B20" s="56"/>
      <c r="C20" s="1">
        <v>4</v>
      </c>
      <c r="D20" s="37"/>
      <c r="E20" s="44"/>
      <c r="F20" s="44"/>
      <c r="G20" s="44"/>
      <c r="H20" s="44"/>
      <c r="I20" s="44"/>
      <c r="J20" s="53"/>
    </row>
    <row r="21" spans="2:10" x14ac:dyDescent="0.25">
      <c r="B21" s="56"/>
      <c r="C21" s="1">
        <v>5</v>
      </c>
      <c r="D21" s="37"/>
      <c r="E21" s="44"/>
      <c r="F21" s="44"/>
      <c r="G21" s="44"/>
      <c r="H21" s="44"/>
      <c r="I21" s="44"/>
      <c r="J21" s="53"/>
    </row>
    <row r="22" spans="2:10" ht="15.75" thickBot="1" x14ac:dyDescent="0.3">
      <c r="B22" s="57"/>
      <c r="C22" s="5">
        <v>6</v>
      </c>
      <c r="D22" s="49"/>
      <c r="E22" s="51"/>
      <c r="F22" s="51"/>
      <c r="G22" s="51"/>
      <c r="H22" s="51"/>
      <c r="I22" s="45"/>
      <c r="J22" s="54"/>
    </row>
    <row r="23" spans="2:10" x14ac:dyDescent="0.25">
      <c r="B23" s="55" t="s">
        <v>23</v>
      </c>
      <c r="C23" s="2">
        <v>1</v>
      </c>
      <c r="D23" s="50" t="s">
        <v>28</v>
      </c>
      <c r="E23" s="50">
        <v>5</v>
      </c>
      <c r="F23" s="50">
        <f>H23/2/E23</f>
        <v>1</v>
      </c>
      <c r="G23" s="50">
        <v>100</v>
      </c>
      <c r="H23" s="50">
        <v>10</v>
      </c>
      <c r="I23" s="38">
        <v>1.3787062046499416</v>
      </c>
      <c r="J23" s="52">
        <v>0.95008999999999999</v>
      </c>
    </row>
    <row r="24" spans="2:10" x14ac:dyDescent="0.25">
      <c r="B24" s="56"/>
      <c r="C24" s="1">
        <v>2</v>
      </c>
      <c r="D24" s="44"/>
      <c r="E24" s="44"/>
      <c r="F24" s="44"/>
      <c r="G24" s="44"/>
      <c r="H24" s="44"/>
      <c r="I24" s="39"/>
      <c r="J24" s="53"/>
    </row>
    <row r="25" spans="2:10" x14ac:dyDescent="0.25">
      <c r="B25" s="56"/>
      <c r="C25" s="1">
        <v>3</v>
      </c>
      <c r="D25" s="44"/>
      <c r="E25" s="44"/>
      <c r="F25" s="44"/>
      <c r="G25" s="44"/>
      <c r="H25" s="44"/>
      <c r="I25" s="39"/>
      <c r="J25" s="53"/>
    </row>
    <row r="26" spans="2:10" x14ac:dyDescent="0.25">
      <c r="B26" s="56"/>
      <c r="C26" s="1">
        <v>4</v>
      </c>
      <c r="D26" s="44"/>
      <c r="E26" s="44"/>
      <c r="F26" s="44"/>
      <c r="G26" s="44"/>
      <c r="H26" s="44"/>
      <c r="I26" s="39"/>
      <c r="J26" s="53"/>
    </row>
    <row r="27" spans="2:10" x14ac:dyDescent="0.25">
      <c r="B27" s="56"/>
      <c r="C27" s="1">
        <v>5</v>
      </c>
      <c r="D27" s="44"/>
      <c r="E27" s="44"/>
      <c r="F27" s="44"/>
      <c r="G27" s="44"/>
      <c r="H27" s="44"/>
      <c r="I27" s="39"/>
      <c r="J27" s="53"/>
    </row>
    <row r="28" spans="2:10" ht="15.75" thickBot="1" x14ac:dyDescent="0.3">
      <c r="B28" s="57"/>
      <c r="C28" s="5">
        <v>6</v>
      </c>
      <c r="D28" s="51"/>
      <c r="E28" s="51"/>
      <c r="F28" s="51"/>
      <c r="G28" s="51"/>
      <c r="H28" s="51"/>
      <c r="I28" s="40"/>
      <c r="J28" s="54"/>
    </row>
    <row r="29" spans="2:10" x14ac:dyDescent="0.25">
      <c r="B29" s="55" t="s">
        <v>31</v>
      </c>
      <c r="C29" s="2">
        <v>1</v>
      </c>
      <c r="D29" s="50" t="s">
        <v>28</v>
      </c>
      <c r="E29" s="50">
        <v>4</v>
      </c>
      <c r="F29" s="50">
        <f>H29/E29/2</f>
        <v>1.25</v>
      </c>
      <c r="G29" s="50">
        <v>100</v>
      </c>
      <c r="H29" s="50">
        <v>10</v>
      </c>
      <c r="I29" s="38">
        <v>1.18253333148298</v>
      </c>
      <c r="J29" s="52">
        <v>0.76327</v>
      </c>
    </row>
    <row r="30" spans="2:10" x14ac:dyDescent="0.25">
      <c r="B30" s="56"/>
      <c r="C30" s="1">
        <v>2</v>
      </c>
      <c r="D30" s="44"/>
      <c r="E30" s="44"/>
      <c r="F30" s="44"/>
      <c r="G30" s="44"/>
      <c r="H30" s="44"/>
      <c r="I30" s="39"/>
      <c r="J30" s="53"/>
    </row>
    <row r="31" spans="2:10" x14ac:dyDescent="0.25">
      <c r="B31" s="56"/>
      <c r="C31" s="1">
        <v>3</v>
      </c>
      <c r="D31" s="44"/>
      <c r="E31" s="44"/>
      <c r="F31" s="44"/>
      <c r="G31" s="44"/>
      <c r="H31" s="44"/>
      <c r="I31" s="39"/>
      <c r="J31" s="53"/>
    </row>
    <row r="32" spans="2:10" x14ac:dyDescent="0.25">
      <c r="B32" s="56"/>
      <c r="C32" s="1">
        <v>4</v>
      </c>
      <c r="D32" s="44"/>
      <c r="E32" s="44"/>
      <c r="F32" s="44"/>
      <c r="G32" s="44"/>
      <c r="H32" s="44"/>
      <c r="I32" s="39"/>
      <c r="J32" s="53"/>
    </row>
    <row r="33" spans="2:10" x14ac:dyDescent="0.25">
      <c r="B33" s="56"/>
      <c r="C33" s="1">
        <v>5</v>
      </c>
      <c r="D33" s="44"/>
      <c r="E33" s="44"/>
      <c r="F33" s="44"/>
      <c r="G33" s="44"/>
      <c r="H33" s="44"/>
      <c r="I33" s="39"/>
      <c r="J33" s="53"/>
    </row>
    <row r="34" spans="2:10" ht="15.75" thickBot="1" x14ac:dyDescent="0.3">
      <c r="B34" s="57"/>
      <c r="C34" s="5">
        <v>6</v>
      </c>
      <c r="D34" s="51"/>
      <c r="E34" s="51"/>
      <c r="F34" s="51"/>
      <c r="G34" s="51"/>
      <c r="H34" s="51"/>
      <c r="I34" s="40"/>
      <c r="J34" s="54"/>
    </row>
    <row r="35" spans="2:10" x14ac:dyDescent="0.25">
      <c r="B35" s="55" t="s">
        <v>24</v>
      </c>
      <c r="C35" s="2">
        <v>1</v>
      </c>
      <c r="D35" s="50" t="s">
        <v>28</v>
      </c>
      <c r="E35" s="50">
        <v>3</v>
      </c>
      <c r="F35" s="50">
        <f>H35/2/E35</f>
        <v>1.6666666666666667</v>
      </c>
      <c r="G35" s="50">
        <v>100</v>
      </c>
      <c r="H35" s="50">
        <v>10</v>
      </c>
      <c r="I35" s="38">
        <v>0.92025248582925512</v>
      </c>
      <c r="J35" s="52">
        <v>0.57696999999999998</v>
      </c>
    </row>
    <row r="36" spans="2:10" x14ac:dyDescent="0.25">
      <c r="B36" s="56"/>
      <c r="C36" s="1">
        <v>2</v>
      </c>
      <c r="D36" s="44"/>
      <c r="E36" s="44"/>
      <c r="F36" s="44"/>
      <c r="G36" s="44"/>
      <c r="H36" s="44"/>
      <c r="I36" s="39"/>
      <c r="J36" s="53"/>
    </row>
    <row r="37" spans="2:10" x14ac:dyDescent="0.25">
      <c r="B37" s="56"/>
      <c r="C37" s="1">
        <v>3</v>
      </c>
      <c r="D37" s="44"/>
      <c r="E37" s="44"/>
      <c r="F37" s="44"/>
      <c r="G37" s="44"/>
      <c r="H37" s="44"/>
      <c r="I37" s="39"/>
      <c r="J37" s="53"/>
    </row>
    <row r="38" spans="2:10" x14ac:dyDescent="0.25">
      <c r="B38" s="56"/>
      <c r="C38" s="1">
        <v>4</v>
      </c>
      <c r="D38" s="44"/>
      <c r="E38" s="44"/>
      <c r="F38" s="44"/>
      <c r="G38" s="44"/>
      <c r="H38" s="44"/>
      <c r="I38" s="39"/>
      <c r="J38" s="53"/>
    </row>
    <row r="39" spans="2:10" x14ac:dyDescent="0.25">
      <c r="B39" s="56"/>
      <c r="C39" s="1">
        <v>5</v>
      </c>
      <c r="D39" s="44"/>
      <c r="E39" s="44"/>
      <c r="F39" s="44"/>
      <c r="G39" s="44"/>
      <c r="H39" s="44"/>
      <c r="I39" s="39"/>
      <c r="J39" s="53"/>
    </row>
    <row r="40" spans="2:10" ht="15.75" thickBot="1" x14ac:dyDescent="0.3">
      <c r="B40" s="57"/>
      <c r="C40" s="5">
        <v>6</v>
      </c>
      <c r="D40" s="51"/>
      <c r="E40" s="51"/>
      <c r="F40" s="51"/>
      <c r="G40" s="51"/>
      <c r="H40" s="51"/>
      <c r="I40" s="40"/>
      <c r="J40" s="54"/>
    </row>
  </sheetData>
  <mergeCells count="50">
    <mergeCell ref="J29:J34"/>
    <mergeCell ref="J35:J40"/>
    <mergeCell ref="B2:B4"/>
    <mergeCell ref="B11:B16"/>
    <mergeCell ref="D11:D16"/>
    <mergeCell ref="H11:H16"/>
    <mergeCell ref="G11:G16"/>
    <mergeCell ref="B5:B10"/>
    <mergeCell ref="D5:D10"/>
    <mergeCell ref="H5:H10"/>
    <mergeCell ref="B17:B22"/>
    <mergeCell ref="D17:D22"/>
    <mergeCell ref="H17:H22"/>
    <mergeCell ref="G17:G22"/>
    <mergeCell ref="B23:B28"/>
    <mergeCell ref="D23:D28"/>
    <mergeCell ref="B29:B34"/>
    <mergeCell ref="D29:D34"/>
    <mergeCell ref="H29:H34"/>
    <mergeCell ref="G29:G34"/>
    <mergeCell ref="F29:F34"/>
    <mergeCell ref="E29:E34"/>
    <mergeCell ref="B35:B40"/>
    <mergeCell ref="D35:D40"/>
    <mergeCell ref="H35:H40"/>
    <mergeCell ref="G35:G40"/>
    <mergeCell ref="E35:E40"/>
    <mergeCell ref="F35:F40"/>
    <mergeCell ref="P2:R2"/>
    <mergeCell ref="E5:E10"/>
    <mergeCell ref="E11:E16"/>
    <mergeCell ref="E17:E22"/>
    <mergeCell ref="E23:E28"/>
    <mergeCell ref="F5:F10"/>
    <mergeCell ref="F11:F16"/>
    <mergeCell ref="F17:F22"/>
    <mergeCell ref="F23:F28"/>
    <mergeCell ref="G5:G10"/>
    <mergeCell ref="J5:J10"/>
    <mergeCell ref="J11:J16"/>
    <mergeCell ref="J17:J22"/>
    <mergeCell ref="J23:J28"/>
    <mergeCell ref="H23:H28"/>
    <mergeCell ref="G23:G28"/>
    <mergeCell ref="I35:I40"/>
    <mergeCell ref="I5:I10"/>
    <mergeCell ref="I11:I16"/>
    <mergeCell ref="I17:I22"/>
    <mergeCell ref="I23:I28"/>
    <mergeCell ref="I29:I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FE07-55B4-4E1C-BE34-92A637EE22CB}">
  <dimension ref="B2:O24"/>
  <sheetViews>
    <sheetView zoomScale="81" workbookViewId="0">
      <selection activeCell="N13" sqref="N13"/>
    </sheetView>
  </sheetViews>
  <sheetFormatPr defaultRowHeight="15" x14ac:dyDescent="0.25"/>
  <cols>
    <col min="2" max="2" width="7.7109375" bestFit="1" customWidth="1"/>
  </cols>
  <sheetData>
    <row r="2" spans="2:15" ht="15.75" thickBot="1" x14ac:dyDescent="0.3"/>
    <row r="3" spans="2:15" ht="75" x14ac:dyDescent="0.25">
      <c r="B3" s="17" t="s">
        <v>33</v>
      </c>
      <c r="C3" s="7" t="s">
        <v>34</v>
      </c>
      <c r="D3" s="7" t="s">
        <v>43</v>
      </c>
      <c r="E3" s="7" t="s">
        <v>35</v>
      </c>
      <c r="F3" s="7" t="s">
        <v>44</v>
      </c>
      <c r="H3" s="17" t="s">
        <v>33</v>
      </c>
      <c r="I3" s="7" t="s">
        <v>34</v>
      </c>
      <c r="J3" s="7" t="s">
        <v>43</v>
      </c>
      <c r="K3" s="7" t="s">
        <v>35</v>
      </c>
      <c r="L3" s="7" t="s">
        <v>44</v>
      </c>
    </row>
    <row r="4" spans="2:15" x14ac:dyDescent="0.25">
      <c r="B4" s="18" t="s">
        <v>8</v>
      </c>
      <c r="C4" s="15" t="s">
        <v>8</v>
      </c>
      <c r="D4" s="15"/>
      <c r="E4" s="15" t="s">
        <v>11</v>
      </c>
      <c r="F4" s="15" t="s">
        <v>11</v>
      </c>
      <c r="H4" s="18" t="s">
        <v>8</v>
      </c>
      <c r="I4" s="15" t="s">
        <v>8</v>
      </c>
      <c r="J4" s="15"/>
      <c r="K4" s="15" t="s">
        <v>11</v>
      </c>
      <c r="L4" s="15" t="s">
        <v>11</v>
      </c>
      <c r="O4" s="34"/>
    </row>
    <row r="5" spans="2:15" x14ac:dyDescent="0.25">
      <c r="B5" s="46">
        <v>60</v>
      </c>
      <c r="C5" s="46">
        <v>5</v>
      </c>
      <c r="D5" s="1">
        <v>1</v>
      </c>
      <c r="E5" s="1">
        <v>0.58953033872911098</v>
      </c>
      <c r="F5" s="46">
        <f>AVERAGE(E5:E10)</f>
        <v>0.48347321112623737</v>
      </c>
      <c r="H5" s="46">
        <v>40</v>
      </c>
      <c r="I5" s="46">
        <v>5</v>
      </c>
      <c r="J5" s="1">
        <v>1</v>
      </c>
      <c r="K5" s="1">
        <v>1.65921618912762</v>
      </c>
      <c r="L5" s="46">
        <f>AVERAGE(K5:K10)</f>
        <v>1.3787062046499416</v>
      </c>
    </row>
    <row r="6" spans="2:15" x14ac:dyDescent="0.25">
      <c r="B6" s="44"/>
      <c r="C6" s="44"/>
      <c r="D6" s="1">
        <v>2</v>
      </c>
      <c r="E6" s="1">
        <v>0.46648365447323797</v>
      </c>
      <c r="F6" s="44"/>
      <c r="H6" s="44"/>
      <c r="I6" s="44"/>
      <c r="J6" s="1">
        <v>2</v>
      </c>
      <c r="K6" s="1">
        <v>1.24769338548071</v>
      </c>
      <c r="L6" s="44"/>
    </row>
    <row r="7" spans="2:15" x14ac:dyDescent="0.25">
      <c r="B7" s="44"/>
      <c r="C7" s="44"/>
      <c r="D7" s="1">
        <v>3</v>
      </c>
      <c r="E7" s="1">
        <v>0.44898368210009898</v>
      </c>
      <c r="F7" s="44"/>
      <c r="H7" s="44"/>
      <c r="I7" s="44"/>
      <c r="J7" s="1">
        <v>3</v>
      </c>
      <c r="K7" s="1">
        <v>1.30232611397024</v>
      </c>
      <c r="L7" s="44"/>
    </row>
    <row r="8" spans="2:15" x14ac:dyDescent="0.25">
      <c r="B8" s="44"/>
      <c r="C8" s="44"/>
      <c r="D8" s="1">
        <v>4</v>
      </c>
      <c r="E8" s="1">
        <v>0.46101491181269899</v>
      </c>
      <c r="F8" s="44"/>
      <c r="H8" s="44"/>
      <c r="I8" s="44"/>
      <c r="J8" s="1">
        <v>4</v>
      </c>
      <c r="K8" s="1">
        <v>1.3441619869877099</v>
      </c>
      <c r="L8" s="44"/>
    </row>
    <row r="9" spans="2:15" x14ac:dyDescent="0.25">
      <c r="B9" s="44"/>
      <c r="C9" s="44"/>
      <c r="D9" s="1">
        <v>5</v>
      </c>
      <c r="E9" s="1">
        <v>0.47413989245458799</v>
      </c>
      <c r="F9" s="44"/>
      <c r="H9" s="44"/>
      <c r="I9" s="44"/>
      <c r="J9" s="1">
        <v>5</v>
      </c>
      <c r="K9" s="1">
        <v>1.35351353487784</v>
      </c>
      <c r="L9" s="44"/>
    </row>
    <row r="10" spans="2:15" x14ac:dyDescent="0.25">
      <c r="B10" s="44"/>
      <c r="C10" s="45"/>
      <c r="D10" s="1">
        <v>6</v>
      </c>
      <c r="E10" s="1">
        <v>0.46068678718768902</v>
      </c>
      <c r="F10" s="45"/>
      <c r="H10" s="44"/>
      <c r="I10" s="45"/>
      <c r="J10" s="1">
        <v>6</v>
      </c>
      <c r="K10" s="1">
        <v>1.3653260174555299</v>
      </c>
      <c r="L10" s="45"/>
    </row>
    <row r="11" spans="2:15" x14ac:dyDescent="0.25">
      <c r="B11" s="44"/>
      <c r="C11" s="46">
        <v>4</v>
      </c>
      <c r="D11" s="1">
        <v>1</v>
      </c>
      <c r="E11" s="1">
        <v>0.45226492617094399</v>
      </c>
      <c r="F11" s="46">
        <f>AVERAGE(E11:E16)</f>
        <v>0.39177153174512697</v>
      </c>
      <c r="H11" s="44"/>
      <c r="I11" s="46">
        <v>4</v>
      </c>
      <c r="J11" s="1">
        <v>1</v>
      </c>
      <c r="K11" s="1">
        <v>1.3961697204385</v>
      </c>
      <c r="L11" s="46">
        <f t="shared" ref="L11" si="0">AVERAGE(K11:K16)</f>
        <v>1.18253333148298</v>
      </c>
    </row>
    <row r="12" spans="2:15" x14ac:dyDescent="0.25">
      <c r="B12" s="44"/>
      <c r="C12" s="44"/>
      <c r="D12" s="1">
        <v>2</v>
      </c>
      <c r="E12" s="1">
        <v>0.35710882523427201</v>
      </c>
      <c r="F12" s="44"/>
      <c r="H12" s="44"/>
      <c r="I12" s="44"/>
      <c r="J12" s="1">
        <v>2</v>
      </c>
      <c r="K12" s="1">
        <v>1.1005295519649501</v>
      </c>
      <c r="L12" s="44"/>
    </row>
    <row r="13" spans="2:15" x14ac:dyDescent="0.25">
      <c r="B13" s="44"/>
      <c r="C13" s="44"/>
      <c r="D13" s="1">
        <v>3</v>
      </c>
      <c r="E13" s="1">
        <v>0.37624942182208798</v>
      </c>
      <c r="F13" s="44"/>
      <c r="H13" s="44"/>
      <c r="I13" s="44"/>
      <c r="J13" s="1">
        <v>3</v>
      </c>
      <c r="K13" s="1">
        <v>1.1172639009758101</v>
      </c>
      <c r="L13" s="44"/>
    </row>
    <row r="14" spans="2:15" x14ac:dyDescent="0.25">
      <c r="B14" s="44"/>
      <c r="C14" s="44"/>
      <c r="D14" s="1">
        <v>4</v>
      </c>
      <c r="E14" s="1">
        <v>0.38390565729729398</v>
      </c>
      <c r="F14" s="44"/>
      <c r="H14" s="44"/>
      <c r="I14" s="44"/>
      <c r="J14" s="1">
        <v>4</v>
      </c>
      <c r="K14" s="1">
        <v>1.1728810023597001</v>
      </c>
      <c r="L14" s="44"/>
    </row>
    <row r="15" spans="2:15" x14ac:dyDescent="0.25">
      <c r="B15" s="44"/>
      <c r="C15" s="44"/>
      <c r="D15" s="1">
        <v>5</v>
      </c>
      <c r="E15" s="1">
        <v>0.38144472555171499</v>
      </c>
      <c r="F15" s="44"/>
      <c r="H15" s="44"/>
      <c r="I15" s="44"/>
      <c r="J15" s="1">
        <v>5</v>
      </c>
      <c r="K15" s="1">
        <v>1.14531854562685</v>
      </c>
      <c r="L15" s="44"/>
    </row>
    <row r="16" spans="2:15" x14ac:dyDescent="0.25">
      <c r="B16" s="44"/>
      <c r="C16" s="45"/>
      <c r="D16" s="1">
        <v>6</v>
      </c>
      <c r="E16" s="1">
        <v>0.39965563439444901</v>
      </c>
      <c r="F16" s="45"/>
      <c r="H16" s="44"/>
      <c r="I16" s="45"/>
      <c r="J16" s="1">
        <v>6</v>
      </c>
      <c r="K16" s="1">
        <v>1.1630372675320699</v>
      </c>
      <c r="L16" s="45"/>
    </row>
    <row r="17" spans="2:12" x14ac:dyDescent="0.25">
      <c r="B17" s="44"/>
      <c r="C17" s="46">
        <v>3</v>
      </c>
      <c r="D17" s="1">
        <v>1</v>
      </c>
      <c r="E17" s="1">
        <v>0.37356973749347</v>
      </c>
      <c r="F17" s="46">
        <f t="shared" ref="F17" si="1">AVERAGE(E17:E22)</f>
        <v>0.31102556249057794</v>
      </c>
      <c r="H17" s="44"/>
      <c r="I17" s="46">
        <v>3</v>
      </c>
      <c r="J17" s="1">
        <v>1</v>
      </c>
      <c r="K17" s="1">
        <v>1.11890452453671</v>
      </c>
      <c r="L17" s="46">
        <f t="shared" ref="L17" si="2">AVERAGE(K17:K22)</f>
        <v>0.92025248582925512</v>
      </c>
    </row>
    <row r="18" spans="2:12" x14ac:dyDescent="0.25">
      <c r="B18" s="44"/>
      <c r="C18" s="44"/>
      <c r="D18" s="1">
        <v>2</v>
      </c>
      <c r="E18" s="1">
        <v>0.29312454732913301</v>
      </c>
      <c r="F18" s="44"/>
      <c r="H18" s="44"/>
      <c r="I18" s="44"/>
      <c r="J18" s="1">
        <v>2</v>
      </c>
      <c r="K18" s="1">
        <v>0.85257680959748805</v>
      </c>
      <c r="L18" s="44"/>
    </row>
    <row r="19" spans="2:12" x14ac:dyDescent="0.25">
      <c r="B19" s="44"/>
      <c r="C19" s="44"/>
      <c r="D19" s="1">
        <v>3</v>
      </c>
      <c r="E19" s="1">
        <v>0.30023391322368498</v>
      </c>
      <c r="F19" s="44"/>
      <c r="H19" s="44"/>
      <c r="I19" s="44"/>
      <c r="J19" s="1">
        <v>3</v>
      </c>
      <c r="K19" s="1">
        <v>0.85591274110583504</v>
      </c>
      <c r="L19" s="44"/>
    </row>
    <row r="20" spans="2:12" x14ac:dyDescent="0.25">
      <c r="B20" s="44"/>
      <c r="C20" s="44"/>
      <c r="D20" s="1">
        <v>4</v>
      </c>
      <c r="E20" s="1">
        <v>0.30072610016119999</v>
      </c>
      <c r="F20" s="44"/>
      <c r="H20" s="44"/>
      <c r="I20" s="44"/>
      <c r="J20" s="1">
        <v>4</v>
      </c>
      <c r="K20" s="1">
        <v>0.8946861179501</v>
      </c>
      <c r="L20" s="44"/>
    </row>
    <row r="21" spans="2:12" x14ac:dyDescent="0.25">
      <c r="B21" s="44"/>
      <c r="C21" s="44"/>
      <c r="D21" s="1">
        <v>5</v>
      </c>
      <c r="E21" s="1">
        <v>0.29235892320411</v>
      </c>
      <c r="F21" s="44"/>
      <c r="H21" s="44"/>
      <c r="I21" s="44"/>
      <c r="J21" s="1">
        <v>5</v>
      </c>
      <c r="K21" s="1">
        <v>0.88544394460808895</v>
      </c>
      <c r="L21" s="44"/>
    </row>
    <row r="22" spans="2:12" x14ac:dyDescent="0.25">
      <c r="B22" s="45"/>
      <c r="C22" s="45"/>
      <c r="D22" s="1">
        <v>6</v>
      </c>
      <c r="E22" s="1">
        <v>0.30614015353187002</v>
      </c>
      <c r="F22" s="45"/>
      <c r="H22" s="45"/>
      <c r="I22" s="45"/>
      <c r="J22" s="1">
        <v>6</v>
      </c>
      <c r="K22" s="1">
        <v>0.91399077717730903</v>
      </c>
      <c r="L22" s="45"/>
    </row>
    <row r="23" spans="2:12" x14ac:dyDescent="0.25">
      <c r="B23" s="33"/>
      <c r="C23" s="33"/>
      <c r="D23" s="19"/>
      <c r="E23" s="19"/>
    </row>
    <row r="24" spans="2:12" x14ac:dyDescent="0.25">
      <c r="B24" s="33"/>
      <c r="C24" s="33"/>
      <c r="D24" s="19"/>
      <c r="E24" s="19"/>
    </row>
  </sheetData>
  <mergeCells count="14">
    <mergeCell ref="B5:B22"/>
    <mergeCell ref="C5:C10"/>
    <mergeCell ref="C11:C16"/>
    <mergeCell ref="C17:C22"/>
    <mergeCell ref="L5:L10"/>
    <mergeCell ref="I11:I16"/>
    <mergeCell ref="L11:L16"/>
    <mergeCell ref="I17:I22"/>
    <mergeCell ref="L17:L22"/>
    <mergeCell ref="F5:F10"/>
    <mergeCell ref="F11:F16"/>
    <mergeCell ref="F17:F22"/>
    <mergeCell ref="H5:H22"/>
    <mergeCell ref="I5:I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57A5-0E02-4F22-ABB6-6D7BD80435AF}">
  <dimension ref="A1:V37"/>
  <sheetViews>
    <sheetView zoomScale="66" workbookViewId="0">
      <selection activeCell="P7" sqref="P7"/>
    </sheetView>
  </sheetViews>
  <sheetFormatPr defaultRowHeight="15" x14ac:dyDescent="0.25"/>
  <cols>
    <col min="2" max="2" width="9.85546875" bestFit="1" customWidth="1"/>
    <col min="16" max="16" width="11.140625" bestFit="1" customWidth="1"/>
  </cols>
  <sheetData>
    <row r="1" spans="1:22" ht="52.15" customHeight="1" x14ac:dyDescent="0.25">
      <c r="A1" s="35" t="s">
        <v>45</v>
      </c>
      <c r="B1" s="32" t="s">
        <v>46</v>
      </c>
      <c r="C1" s="32" t="s">
        <v>47</v>
      </c>
      <c r="D1" s="32" t="s">
        <v>48</v>
      </c>
      <c r="E1" s="32" t="s">
        <v>49</v>
      </c>
      <c r="F1" s="32" t="s">
        <v>50</v>
      </c>
      <c r="G1" s="32" t="s">
        <v>51</v>
      </c>
      <c r="H1" s="32" t="s">
        <v>52</v>
      </c>
      <c r="I1" s="32" t="s">
        <v>53</v>
      </c>
      <c r="J1" s="32" t="s">
        <v>54</v>
      </c>
      <c r="K1" s="32" t="s">
        <v>55</v>
      </c>
      <c r="L1" s="32" t="s">
        <v>56</v>
      </c>
      <c r="M1" s="32" t="s">
        <v>57</v>
      </c>
      <c r="N1" s="32" t="s">
        <v>58</v>
      </c>
      <c r="P1" s="35"/>
      <c r="Q1" s="36" t="s">
        <v>61</v>
      </c>
      <c r="R1" s="36"/>
      <c r="S1" s="36"/>
      <c r="T1" s="36" t="s">
        <v>62</v>
      </c>
      <c r="U1" s="36"/>
      <c r="V1" s="36"/>
    </row>
    <row r="2" spans="1:22" x14ac:dyDescent="0.25">
      <c r="A2" s="44">
        <v>0.48347321112623737</v>
      </c>
      <c r="B2" s="42">
        <v>0.18744</v>
      </c>
      <c r="C2" s="37">
        <f>0.001</f>
        <v>1E-3</v>
      </c>
      <c r="D2" s="37"/>
      <c r="E2" s="37">
        <f>_xlfn.STDEV.P(EXPERIMENTAL!E5:E10)</f>
        <v>4.8022553945121831E-2</v>
      </c>
      <c r="F2" s="37">
        <f>(0.0038*A2)</f>
        <v>1.8371982022797021E-3</v>
      </c>
      <c r="G2" s="37">
        <f>SQRT(E2^2+F2^2)</f>
        <v>4.8057683929280191E-2</v>
      </c>
      <c r="H2" s="37">
        <f>B2-A2</f>
        <v>-0.29603321112623737</v>
      </c>
      <c r="I2" s="37">
        <f>H2-(C2+D2-G2)</f>
        <v>-0.24897552719695717</v>
      </c>
      <c r="J2" s="37">
        <f>SQRT(C2^2+D2^2+G2^2)</f>
        <v>4.8068086966786973E-2</v>
      </c>
      <c r="K2" s="37">
        <f>2*J2</f>
        <v>9.6136173933573946E-2</v>
      </c>
      <c r="L2" s="37">
        <v>5</v>
      </c>
      <c r="M2" s="37">
        <f>H2-K2</f>
        <v>-0.3921693850598113</v>
      </c>
      <c r="N2" s="37">
        <f>H2+K2</f>
        <v>-0.19989703719266344</v>
      </c>
      <c r="P2" s="35"/>
      <c r="Q2" s="35" t="s">
        <v>52</v>
      </c>
      <c r="R2" s="35" t="s">
        <v>59</v>
      </c>
      <c r="S2" s="35" t="s">
        <v>60</v>
      </c>
      <c r="T2" s="35" t="s">
        <v>52</v>
      </c>
      <c r="U2" s="35" t="s">
        <v>59</v>
      </c>
      <c r="V2" s="35" t="s">
        <v>60</v>
      </c>
    </row>
    <row r="3" spans="1:22" x14ac:dyDescent="0.25">
      <c r="A3" s="44"/>
      <c r="B3" s="42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P3" s="35" t="s">
        <v>63</v>
      </c>
      <c r="Q3" s="35"/>
      <c r="R3" s="35"/>
      <c r="S3" s="35"/>
      <c r="T3" s="35"/>
      <c r="U3" s="35"/>
      <c r="V3" s="35"/>
    </row>
    <row r="4" spans="1:22" x14ac:dyDescent="0.25">
      <c r="A4" s="44"/>
      <c r="B4" s="42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P4" s="35" t="s">
        <v>64</v>
      </c>
      <c r="Q4" s="35"/>
      <c r="R4" s="35"/>
      <c r="S4" s="35"/>
      <c r="T4" s="35"/>
      <c r="U4" s="35"/>
      <c r="V4" s="35"/>
    </row>
    <row r="5" spans="1:22" x14ac:dyDescent="0.25">
      <c r="A5" s="44"/>
      <c r="B5" s="42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</row>
    <row r="6" spans="1:22" x14ac:dyDescent="0.25">
      <c r="A6" s="44"/>
      <c r="B6" s="42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1:22" ht="15.75" thickBot="1" x14ac:dyDescent="0.3">
      <c r="A7" s="45"/>
      <c r="B7" s="43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</row>
    <row r="8" spans="1:22" x14ac:dyDescent="0.25">
      <c r="A8" s="46">
        <v>0.39177153174512697</v>
      </c>
      <c r="B8" s="41">
        <v>0.14939</v>
      </c>
      <c r="C8" s="37">
        <f t="shared" ref="C8" si="0">0.001</f>
        <v>1E-3</v>
      </c>
      <c r="D8" s="37"/>
      <c r="E8" s="37">
        <f>_xlfn.STDEV.P(EXPERIMENTAL!E11:E16)</f>
        <v>2.9812088906595292E-2</v>
      </c>
      <c r="F8" s="37">
        <f t="shared" ref="F8" si="1">(0.0038*A8)</f>
        <v>1.4887318206314826E-3</v>
      </c>
      <c r="G8" s="37">
        <f t="shared" ref="G8" si="2">SQRT(E8^2+F8^2)</f>
        <v>2.9849237300281273E-2</v>
      </c>
      <c r="H8" s="37">
        <f t="shared" ref="H8" si="3">B8-A8</f>
        <v>-0.24238153174512697</v>
      </c>
      <c r="I8" s="37">
        <f t="shared" ref="I8" si="4">H8-(C8+D8-G8)</f>
        <v>-0.2135322944448457</v>
      </c>
      <c r="J8" s="37">
        <f t="shared" ref="J8" si="5">SQRT(C8^2+D8^2+G8^2)</f>
        <v>2.9865983449545119E-2</v>
      </c>
      <c r="K8" s="37">
        <f t="shared" ref="K8" si="6">2*J8</f>
        <v>5.9731966899090237E-2</v>
      </c>
      <c r="L8" s="37">
        <v>4</v>
      </c>
      <c r="M8" s="37">
        <f t="shared" ref="M8" si="7">H8-K8</f>
        <v>-0.30211349864421722</v>
      </c>
      <c r="N8" s="37">
        <f t="shared" ref="N8" si="8">H8+K8</f>
        <v>-0.18264956484603673</v>
      </c>
    </row>
    <row r="9" spans="1:22" x14ac:dyDescent="0.25">
      <c r="A9" s="44"/>
      <c r="B9" s="42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</row>
    <row r="10" spans="1:22" x14ac:dyDescent="0.25">
      <c r="A10" s="44"/>
      <c r="B10" s="42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</row>
    <row r="11" spans="1:22" x14ac:dyDescent="0.25">
      <c r="A11" s="44"/>
      <c r="B11" s="42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</row>
    <row r="12" spans="1:22" x14ac:dyDescent="0.25">
      <c r="A12" s="44"/>
      <c r="B12" s="42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</row>
    <row r="13" spans="1:22" ht="15.75" thickBot="1" x14ac:dyDescent="0.3">
      <c r="A13" s="45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</row>
    <row r="14" spans="1:22" x14ac:dyDescent="0.25">
      <c r="A14" s="46">
        <v>0.31102556249057794</v>
      </c>
      <c r="B14" s="41">
        <v>0.11186</v>
      </c>
      <c r="C14" s="37">
        <f t="shared" ref="C14" si="9">0.001</f>
        <v>1E-3</v>
      </c>
      <c r="D14" s="37"/>
      <c r="E14" s="37">
        <f>_xlfn.STDEV.P(EXPERIMENTAL!E17:E22)</f>
        <v>2.8363913198879747E-2</v>
      </c>
      <c r="F14" s="37">
        <f t="shared" ref="F14" si="10">(0.0038*A14)</f>
        <v>1.1818971374641962E-3</v>
      </c>
      <c r="G14" s="37">
        <f t="shared" ref="G14" si="11">SQRT(E14^2+F14^2)</f>
        <v>2.8388526781027767E-2</v>
      </c>
      <c r="H14" s="37">
        <f t="shared" ref="H14" si="12">B14-A14</f>
        <v>-0.19916556249057793</v>
      </c>
      <c r="I14" s="37">
        <f t="shared" ref="I14" si="13">H14-(C14+D14-G14)</f>
        <v>-0.17177703570955016</v>
      </c>
      <c r="J14" s="37">
        <f t="shared" ref="J14" si="14">SQRT(C14^2+D14^2+G14^2)</f>
        <v>2.8406134069899953E-2</v>
      </c>
      <c r="K14" s="37">
        <f t="shared" ref="K14" si="15">2*J14</f>
        <v>5.6812268139799907E-2</v>
      </c>
      <c r="L14" s="37">
        <v>3</v>
      </c>
      <c r="M14" s="37">
        <f t="shared" ref="M14" si="16">H14-K14</f>
        <v>-0.25597783063037782</v>
      </c>
      <c r="N14" s="37">
        <f t="shared" ref="N14" si="17">H14+K14</f>
        <v>-0.14235329435077804</v>
      </c>
    </row>
    <row r="15" spans="1:22" x14ac:dyDescent="0.25">
      <c r="A15" s="44"/>
      <c r="B15" s="42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</row>
    <row r="16" spans="1:22" x14ac:dyDescent="0.25">
      <c r="A16" s="44"/>
      <c r="B16" s="42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</row>
    <row r="17" spans="1:14" x14ac:dyDescent="0.25">
      <c r="A17" s="44"/>
      <c r="B17" s="42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</row>
    <row r="18" spans="1:14" x14ac:dyDescent="0.25">
      <c r="A18" s="44"/>
      <c r="B18" s="42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spans="1:14" ht="15.75" thickBot="1" x14ac:dyDescent="0.3">
      <c r="A19" s="45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</row>
    <row r="20" spans="1:14" x14ac:dyDescent="0.25">
      <c r="A20" s="38">
        <v>1.3787062046499416</v>
      </c>
      <c r="B20" s="41">
        <v>0.95008999999999999</v>
      </c>
      <c r="C20" s="37">
        <f t="shared" ref="C20" si="18">0.001</f>
        <v>1E-3</v>
      </c>
      <c r="D20" s="37"/>
      <c r="E20" s="37">
        <f>_xlfn.STDEV.P(EXPERIMENTAL!K5:K10)</f>
        <v>0.13146047024617699</v>
      </c>
      <c r="F20" s="37">
        <f t="shared" ref="F20" si="19">(0.0038*A20)</f>
        <v>5.2390835776697786E-3</v>
      </c>
      <c r="G20" s="37">
        <f t="shared" ref="G20" si="20">SQRT(E20^2+F20^2)</f>
        <v>0.13156482521586002</v>
      </c>
      <c r="H20" s="37">
        <f t="shared" ref="H20" si="21">B20-A20</f>
        <v>-0.42861620464994166</v>
      </c>
      <c r="I20" s="37">
        <f t="shared" ref="I20" si="22">H20-(C20+D20-G20)</f>
        <v>-0.29805137943408166</v>
      </c>
      <c r="J20" s="37">
        <f t="shared" ref="J20" si="23">SQRT(C20^2+D20^2+G20^2)</f>
        <v>0.13156862556886348</v>
      </c>
      <c r="K20" s="37">
        <f t="shared" ref="K20" si="24">2*J20</f>
        <v>0.26313725113772696</v>
      </c>
      <c r="L20" s="37">
        <v>5</v>
      </c>
      <c r="M20" s="37">
        <f t="shared" ref="M20" si="25">H20-K20</f>
        <v>-0.69175345578766856</v>
      </c>
      <c r="N20" s="37">
        <f t="shared" ref="N20" si="26">H20+K20</f>
        <v>-0.1654789535122147</v>
      </c>
    </row>
    <row r="21" spans="1:14" x14ac:dyDescent="0.25">
      <c r="A21" s="39"/>
      <c r="B21" s="42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</row>
    <row r="22" spans="1:14" x14ac:dyDescent="0.25">
      <c r="A22" s="39"/>
      <c r="B22" s="42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</row>
    <row r="23" spans="1:14" x14ac:dyDescent="0.25">
      <c r="A23" s="39"/>
      <c r="B23" s="42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</row>
    <row r="24" spans="1:14" x14ac:dyDescent="0.25">
      <c r="A24" s="39"/>
      <c r="B24" s="42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</row>
    <row r="25" spans="1:14" ht="15.75" thickBot="1" x14ac:dyDescent="0.3">
      <c r="A25" s="40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  <row r="26" spans="1:14" x14ac:dyDescent="0.25">
      <c r="A26" s="38">
        <v>1.18253333148298</v>
      </c>
      <c r="B26" s="41">
        <v>0.76327</v>
      </c>
      <c r="C26" s="37">
        <f t="shared" ref="C26" si="27">0.001</f>
        <v>1E-3</v>
      </c>
      <c r="D26" s="37"/>
      <c r="E26" s="37">
        <f>_xlfn.STDEV.P(EXPERIMENTAL!K11:K16)</f>
        <v>9.8728102511667429E-2</v>
      </c>
      <c r="F26" s="37">
        <f t="shared" ref="F26" si="28">(0.0038*A26)</f>
        <v>4.4936266596353244E-3</v>
      </c>
      <c r="G26" s="37">
        <f t="shared" ref="G26" si="29">SQRT(E26^2+F26^2)</f>
        <v>9.8830313700354597E-2</v>
      </c>
      <c r="H26" s="37">
        <f t="shared" ref="H26:H32" si="30">B26-A26</f>
        <v>-0.41926333148298001</v>
      </c>
      <c r="I26" s="37">
        <f t="shared" ref="I26" si="31">H26-(C26+D26-G26)</f>
        <v>-0.3214330177826254</v>
      </c>
      <c r="J26" s="37">
        <f t="shared" ref="J26" si="32">SQRT(C26^2+D26^2+G26^2)</f>
        <v>9.8835372747364578E-2</v>
      </c>
      <c r="K26" s="37">
        <f t="shared" ref="K26" si="33">2*J26</f>
        <v>0.19767074549472916</v>
      </c>
      <c r="L26" s="37">
        <v>4</v>
      </c>
      <c r="M26" s="37">
        <f t="shared" ref="M26" si="34">H26-K26</f>
        <v>-0.61693407697770919</v>
      </c>
      <c r="N26" s="37">
        <f t="shared" ref="N26" si="35">H26+K26</f>
        <v>-0.22159258598825085</v>
      </c>
    </row>
    <row r="27" spans="1:14" x14ac:dyDescent="0.25">
      <c r="A27" s="39"/>
      <c r="B27" s="42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</row>
    <row r="28" spans="1:14" x14ac:dyDescent="0.25">
      <c r="A28" s="39"/>
      <c r="B28" s="42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14" x14ac:dyDescent="0.25">
      <c r="A29" s="39"/>
      <c r="B29" s="42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spans="1:14" x14ac:dyDescent="0.25">
      <c r="A30" s="39"/>
      <c r="B30" s="42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</row>
    <row r="31" spans="1:14" ht="15.75" thickBot="1" x14ac:dyDescent="0.3">
      <c r="A31" s="40"/>
      <c r="B31" s="43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</row>
    <row r="32" spans="1:14" x14ac:dyDescent="0.25">
      <c r="A32" s="38">
        <v>0.92025248582925512</v>
      </c>
      <c r="B32" s="41">
        <v>0.57696999999999998</v>
      </c>
      <c r="C32" s="37">
        <f t="shared" ref="C32" si="36">0.001</f>
        <v>1E-3</v>
      </c>
      <c r="D32" s="37"/>
      <c r="E32" s="37">
        <f>_xlfn.STDEV.P(EXPERIMENTAL!K17:K22)</f>
        <v>9.1366218311118449E-2</v>
      </c>
      <c r="F32" s="37">
        <f t="shared" ref="F32" si="37">(0.0038*A32)</f>
        <v>3.4969594461511694E-3</v>
      </c>
      <c r="G32" s="37">
        <f t="shared" ref="G32" si="38">SQRT(E32^2+F32^2)</f>
        <v>9.1433115302077414E-2</v>
      </c>
      <c r="H32" s="37">
        <f t="shared" si="30"/>
        <v>-0.34328248582925514</v>
      </c>
      <c r="I32" s="37">
        <f t="shared" ref="I32" si="39">H32-(C32+D32-G32)</f>
        <v>-0.25284937052717771</v>
      </c>
      <c r="J32" s="37">
        <f t="shared" ref="J32" si="40">SQRT(C32^2+D32^2+G32^2)</f>
        <v>9.1438583616780617E-2</v>
      </c>
      <c r="K32" s="37">
        <f t="shared" ref="K32" si="41">2*J32</f>
        <v>0.18287716723356123</v>
      </c>
      <c r="L32" s="37">
        <v>3</v>
      </c>
      <c r="M32" s="37">
        <f t="shared" ref="M32" si="42">H32-K32</f>
        <v>-0.52615965306281631</v>
      </c>
      <c r="N32" s="37">
        <f t="shared" ref="N32" si="43">H32+K32</f>
        <v>-0.1604053185956939</v>
      </c>
    </row>
    <row r="33" spans="1:14" x14ac:dyDescent="0.25">
      <c r="A33" s="39"/>
      <c r="B33" s="42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</row>
    <row r="34" spans="1:14" x14ac:dyDescent="0.25">
      <c r="A34" s="39"/>
      <c r="B34" s="42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</row>
    <row r="35" spans="1:14" x14ac:dyDescent="0.25">
      <c r="A35" s="39"/>
      <c r="B35" s="42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</row>
    <row r="36" spans="1:14" x14ac:dyDescent="0.25">
      <c r="A36" s="39"/>
      <c r="B36" s="42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</row>
    <row r="37" spans="1:14" ht="15.75" thickBot="1" x14ac:dyDescent="0.3">
      <c r="A37" s="40"/>
      <c r="B37" s="43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</row>
  </sheetData>
  <mergeCells count="86">
    <mergeCell ref="A2:A7"/>
    <mergeCell ref="B2:B7"/>
    <mergeCell ref="A8:A13"/>
    <mergeCell ref="B8:B13"/>
    <mergeCell ref="A14:A19"/>
    <mergeCell ref="B14:B19"/>
    <mergeCell ref="C32:C37"/>
    <mergeCell ref="A20:A25"/>
    <mergeCell ref="B20:B25"/>
    <mergeCell ref="A26:A31"/>
    <mergeCell ref="B26:B31"/>
    <mergeCell ref="A32:A37"/>
    <mergeCell ref="B32:B37"/>
    <mergeCell ref="C2:C7"/>
    <mergeCell ref="C8:C13"/>
    <mergeCell ref="C14:C19"/>
    <mergeCell ref="C20:C25"/>
    <mergeCell ref="C26:C31"/>
    <mergeCell ref="D32:D37"/>
    <mergeCell ref="D2:D7"/>
    <mergeCell ref="D8:D13"/>
    <mergeCell ref="D14:D19"/>
    <mergeCell ref="D20:D25"/>
    <mergeCell ref="D26:D31"/>
    <mergeCell ref="E2:E7"/>
    <mergeCell ref="F2:F7"/>
    <mergeCell ref="E8:E13"/>
    <mergeCell ref="F8:F13"/>
    <mergeCell ref="E14:E19"/>
    <mergeCell ref="F14:F19"/>
    <mergeCell ref="E20:E25"/>
    <mergeCell ref="F20:F25"/>
    <mergeCell ref="E26:E31"/>
    <mergeCell ref="F26:F31"/>
    <mergeCell ref="E32:E37"/>
    <mergeCell ref="F32:F37"/>
    <mergeCell ref="G2:G7"/>
    <mergeCell ref="H2:H7"/>
    <mergeCell ref="I2:I7"/>
    <mergeCell ref="J2:J7"/>
    <mergeCell ref="G8:G13"/>
    <mergeCell ref="H8:H13"/>
    <mergeCell ref="I8:I13"/>
    <mergeCell ref="J8:J13"/>
    <mergeCell ref="G14:G19"/>
    <mergeCell ref="H14:H19"/>
    <mergeCell ref="I14:I19"/>
    <mergeCell ref="J14:J19"/>
    <mergeCell ref="G20:G25"/>
    <mergeCell ref="H20:H25"/>
    <mergeCell ref="I20:I25"/>
    <mergeCell ref="J20:J25"/>
    <mergeCell ref="G26:G31"/>
    <mergeCell ref="H26:H31"/>
    <mergeCell ref="I26:I31"/>
    <mergeCell ref="J26:J31"/>
    <mergeCell ref="G32:G37"/>
    <mergeCell ref="H32:H37"/>
    <mergeCell ref="I32:I37"/>
    <mergeCell ref="J32:J37"/>
    <mergeCell ref="L32:L37"/>
    <mergeCell ref="K2:K7"/>
    <mergeCell ref="K8:K13"/>
    <mergeCell ref="K14:K19"/>
    <mergeCell ref="K20:K25"/>
    <mergeCell ref="K26:K31"/>
    <mergeCell ref="K32:K37"/>
    <mergeCell ref="L2:L7"/>
    <mergeCell ref="L8:L13"/>
    <mergeCell ref="L14:L19"/>
    <mergeCell ref="L20:L25"/>
    <mergeCell ref="L26:L31"/>
    <mergeCell ref="M32:M37"/>
    <mergeCell ref="N32:N37"/>
    <mergeCell ref="M2:M7"/>
    <mergeCell ref="N2:N7"/>
    <mergeCell ref="M8:M13"/>
    <mergeCell ref="N8:N13"/>
    <mergeCell ref="M14:M19"/>
    <mergeCell ref="N14:N19"/>
    <mergeCell ref="Q1:S1"/>
    <mergeCell ref="T1:V1"/>
    <mergeCell ref="M20:M25"/>
    <mergeCell ref="N20:N25"/>
    <mergeCell ref="M26:M31"/>
    <mergeCell ref="N26:N3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F2A5-4BAF-4926-9DDD-CFCD024922E3}">
  <dimension ref="B1:O42"/>
  <sheetViews>
    <sheetView tabSelected="1" topLeftCell="C16" zoomScale="130" zoomScaleNormal="130" workbookViewId="0">
      <selection activeCell="K33" sqref="K33"/>
    </sheetView>
  </sheetViews>
  <sheetFormatPr defaultRowHeight="15" x14ac:dyDescent="0.25"/>
  <cols>
    <col min="2" max="4" width="16.28515625" customWidth="1"/>
    <col min="6" max="9" width="16.42578125" customWidth="1"/>
    <col min="10" max="11" width="14" customWidth="1"/>
    <col min="12" max="12" width="13.5703125" customWidth="1"/>
    <col min="13" max="15" width="16.28515625" customWidth="1"/>
  </cols>
  <sheetData>
    <row r="1" spans="2:15" ht="15.75" thickBot="1" x14ac:dyDescent="0.3"/>
    <row r="2" spans="2:15" ht="45" x14ac:dyDescent="0.25">
      <c r="B2" s="17" t="s">
        <v>33</v>
      </c>
      <c r="C2" s="7" t="s">
        <v>34</v>
      </c>
      <c r="D2" s="8" t="s">
        <v>35</v>
      </c>
      <c r="F2" s="17" t="s">
        <v>33</v>
      </c>
      <c r="G2" s="7" t="s">
        <v>34</v>
      </c>
      <c r="H2" s="7" t="s">
        <v>36</v>
      </c>
      <c r="I2" s="7" t="s">
        <v>35</v>
      </c>
      <c r="J2" s="7" t="s">
        <v>37</v>
      </c>
      <c r="K2" s="8" t="s">
        <v>38</v>
      </c>
      <c r="M2" s="17" t="s">
        <v>33</v>
      </c>
      <c r="N2" s="7" t="s">
        <v>34</v>
      </c>
      <c r="O2" s="8" t="s">
        <v>35</v>
      </c>
    </row>
    <row r="3" spans="2:15" ht="15.75" thickBot="1" x14ac:dyDescent="0.3">
      <c r="B3" s="20" t="s">
        <v>8</v>
      </c>
      <c r="C3" s="9" t="s">
        <v>8</v>
      </c>
      <c r="D3" s="10" t="s">
        <v>11</v>
      </c>
      <c r="F3" s="18" t="s">
        <v>8</v>
      </c>
      <c r="G3" s="15" t="s">
        <v>8</v>
      </c>
      <c r="H3" s="15" t="s">
        <v>8</v>
      </c>
      <c r="I3" s="15" t="s">
        <v>11</v>
      </c>
      <c r="J3" s="15" t="s">
        <v>11</v>
      </c>
      <c r="K3" s="16" t="s">
        <v>39</v>
      </c>
      <c r="M3" s="20" t="s">
        <v>8</v>
      </c>
      <c r="N3" s="9" t="s">
        <v>8</v>
      </c>
      <c r="O3" s="10" t="s">
        <v>11</v>
      </c>
    </row>
    <row r="4" spans="2:15" x14ac:dyDescent="0.25">
      <c r="B4" s="61">
        <v>60</v>
      </c>
      <c r="C4" s="2">
        <v>5</v>
      </c>
      <c r="D4" s="3">
        <v>0.18744</v>
      </c>
      <c r="F4" s="68">
        <v>60</v>
      </c>
      <c r="G4" s="48">
        <v>2</v>
      </c>
      <c r="H4" s="2">
        <v>3</v>
      </c>
      <c r="I4" s="2">
        <v>0.12178</v>
      </c>
      <c r="J4" s="25"/>
      <c r="K4" s="26"/>
      <c r="M4" s="61">
        <v>60</v>
      </c>
      <c r="N4" s="2">
        <v>5</v>
      </c>
      <c r="O4" s="3">
        <v>0.18503</v>
      </c>
    </row>
    <row r="5" spans="2:15" x14ac:dyDescent="0.25">
      <c r="B5" s="62"/>
      <c r="C5" s="1">
        <v>4</v>
      </c>
      <c r="D5" s="4">
        <v>0.14939</v>
      </c>
      <c r="F5" s="69"/>
      <c r="G5" s="37"/>
      <c r="H5" s="1">
        <v>2</v>
      </c>
      <c r="I5" s="1">
        <v>0.11736000000000001</v>
      </c>
      <c r="J5" s="24"/>
      <c r="K5" s="27"/>
      <c r="M5" s="62"/>
      <c r="N5" s="22">
        <v>4.5</v>
      </c>
      <c r="O5" s="23">
        <v>0.16613</v>
      </c>
    </row>
    <row r="6" spans="2:15" x14ac:dyDescent="0.25">
      <c r="B6" s="62"/>
      <c r="C6" s="1">
        <v>3</v>
      </c>
      <c r="D6" s="4">
        <v>0.11186</v>
      </c>
      <c r="F6" s="69"/>
      <c r="G6" s="37"/>
      <c r="H6" s="1">
        <v>1.75</v>
      </c>
      <c r="I6" s="1">
        <v>9.6396999999999997E-2</v>
      </c>
      <c r="J6" s="24"/>
      <c r="K6" s="27"/>
      <c r="M6" s="62"/>
      <c r="N6" s="22">
        <v>4</v>
      </c>
      <c r="O6" s="23">
        <v>0.1474</v>
      </c>
    </row>
    <row r="7" spans="2:15" ht="15.75" thickBot="1" x14ac:dyDescent="0.3">
      <c r="B7" s="63"/>
      <c r="C7" s="5">
        <v>2</v>
      </c>
      <c r="D7" s="6">
        <v>7.4614E-2</v>
      </c>
      <c r="F7" s="69"/>
      <c r="G7" s="37"/>
      <c r="H7" s="1">
        <v>1.5</v>
      </c>
      <c r="I7" s="1">
        <v>9.5903000000000002E-2</v>
      </c>
      <c r="J7" s="24"/>
      <c r="K7" s="27"/>
      <c r="M7" s="62"/>
      <c r="N7" s="22">
        <v>3.5</v>
      </c>
      <c r="O7" s="23">
        <v>0.12881000000000001</v>
      </c>
    </row>
    <row r="8" spans="2:15" x14ac:dyDescent="0.25">
      <c r="B8" s="62">
        <v>40</v>
      </c>
      <c r="C8" s="22">
        <v>5</v>
      </c>
      <c r="D8" s="23">
        <v>0.95008999999999999</v>
      </c>
      <c r="F8" s="69"/>
      <c r="G8" s="37"/>
      <c r="H8" s="1">
        <v>1.25</v>
      </c>
      <c r="I8" s="1">
        <v>8.7951000000000001E-2</v>
      </c>
      <c r="J8" s="24"/>
      <c r="K8" s="27"/>
      <c r="M8" s="62"/>
      <c r="N8" s="22">
        <v>3</v>
      </c>
      <c r="O8" s="23">
        <v>0.11033</v>
      </c>
    </row>
    <row r="9" spans="2:15" x14ac:dyDescent="0.25">
      <c r="B9" s="62"/>
      <c r="C9" s="1">
        <v>4</v>
      </c>
      <c r="D9" s="4">
        <v>0.76327</v>
      </c>
      <c r="F9" s="69"/>
      <c r="G9" s="37"/>
      <c r="H9" s="1">
        <v>1</v>
      </c>
      <c r="I9" s="1">
        <v>8.2449999999999996E-2</v>
      </c>
      <c r="J9" s="24"/>
      <c r="K9" s="27"/>
      <c r="M9" s="62"/>
      <c r="N9" s="22">
        <v>2.5</v>
      </c>
      <c r="O9" s="23">
        <v>9.1928999999999997E-2</v>
      </c>
    </row>
    <row r="10" spans="2:15" x14ac:dyDescent="0.25">
      <c r="B10" s="62"/>
      <c r="C10" s="1">
        <v>3</v>
      </c>
      <c r="D10" s="4">
        <v>0.57696999999999998</v>
      </c>
      <c r="F10" s="69"/>
      <c r="G10" s="37"/>
      <c r="H10" s="1">
        <v>0.75</v>
      </c>
      <c r="I10" s="1">
        <v>7.9756999999999995E-2</v>
      </c>
      <c r="J10" s="24"/>
      <c r="K10" s="27"/>
      <c r="M10" s="62"/>
      <c r="N10" s="22">
        <v>2</v>
      </c>
      <c r="O10" s="23">
        <v>7.3574000000000001E-2</v>
      </c>
    </row>
    <row r="11" spans="2:15" ht="15.75" thickBot="1" x14ac:dyDescent="0.3">
      <c r="B11" s="63"/>
      <c r="C11" s="5">
        <v>2</v>
      </c>
      <c r="D11" s="6">
        <v>0.38911000000000001</v>
      </c>
      <c r="F11" s="69"/>
      <c r="G11" s="37"/>
      <c r="H11" s="1">
        <v>0.5</v>
      </c>
      <c r="I11" s="1">
        <v>7.7260999999999996E-2</v>
      </c>
      <c r="J11" s="24"/>
      <c r="K11" s="27"/>
      <c r="M11" s="62"/>
      <c r="N11" s="1">
        <v>1.5</v>
      </c>
      <c r="O11" s="4">
        <v>5.5234999999999999E-2</v>
      </c>
    </row>
    <row r="12" spans="2:15" x14ac:dyDescent="0.25">
      <c r="B12" s="41" t="s">
        <v>41</v>
      </c>
      <c r="C12" s="64"/>
      <c r="D12" s="65"/>
      <c r="F12" s="69"/>
      <c r="G12" s="37"/>
      <c r="H12" s="1">
        <v>0.35</v>
      </c>
      <c r="I12" s="1">
        <v>7.5512999999999997E-2</v>
      </c>
      <c r="J12" s="24"/>
      <c r="K12" s="27"/>
      <c r="M12" s="62"/>
      <c r="N12" s="1">
        <v>1</v>
      </c>
      <c r="O12" s="4">
        <v>3.6881999999999998E-2</v>
      </c>
    </row>
    <row r="13" spans="2:15" ht="15.75" thickBot="1" x14ac:dyDescent="0.3">
      <c r="B13" s="43"/>
      <c r="C13" s="66"/>
      <c r="D13" s="67"/>
      <c r="F13" s="69"/>
      <c r="G13" s="37"/>
      <c r="H13" s="1">
        <v>0.25</v>
      </c>
      <c r="I13" s="1">
        <v>7.4614E-2</v>
      </c>
      <c r="J13" s="1">
        <v>7.3062000000000002E-2</v>
      </c>
      <c r="K13" s="21">
        <f>ABS(I13-J13)/I13</f>
        <v>2.0800385986544052E-2</v>
      </c>
      <c r="M13" s="62"/>
      <c r="N13" s="1">
        <v>0.5</v>
      </c>
      <c r="O13" s="4">
        <v>1.8481000000000001E-2</v>
      </c>
    </row>
    <row r="14" spans="2:15" x14ac:dyDescent="0.25">
      <c r="B14" s="19"/>
      <c r="C14" s="19"/>
      <c r="D14" s="19"/>
      <c r="F14" s="69"/>
      <c r="G14" s="37"/>
      <c r="H14" s="1">
        <v>0.15</v>
      </c>
      <c r="I14" s="1">
        <v>7.3734999999999995E-2</v>
      </c>
      <c r="J14" s="24"/>
      <c r="K14" s="27"/>
      <c r="M14" s="62"/>
      <c r="N14" s="1">
        <v>0.1</v>
      </c>
      <c r="O14" s="4">
        <v>3.7041000000000001E-3</v>
      </c>
    </row>
    <row r="15" spans="2:15" ht="15.75" thickBot="1" x14ac:dyDescent="0.3">
      <c r="B15" s="19"/>
      <c r="C15" s="19"/>
      <c r="D15" s="19"/>
      <c r="F15" s="70"/>
      <c r="G15" s="49"/>
      <c r="H15" s="5">
        <v>0.1</v>
      </c>
      <c r="I15" s="5">
        <v>7.3345999999999995E-2</v>
      </c>
      <c r="J15" s="28"/>
      <c r="K15" s="29"/>
      <c r="M15" s="63"/>
      <c r="N15" s="5">
        <v>0.05</v>
      </c>
      <c r="O15" s="6">
        <v>1.8526E-3</v>
      </c>
    </row>
    <row r="16" spans="2:15" x14ac:dyDescent="0.25">
      <c r="B16" s="19"/>
      <c r="C16" s="19"/>
      <c r="D16" s="19"/>
      <c r="F16" s="61">
        <v>40</v>
      </c>
      <c r="G16" s="50">
        <v>2</v>
      </c>
      <c r="H16" s="2">
        <v>4</v>
      </c>
      <c r="I16" s="2">
        <v>0.81888000000000005</v>
      </c>
      <c r="J16" s="2">
        <v>0.40245999999999998</v>
      </c>
      <c r="K16" s="30">
        <f t="shared" ref="K16:K22" si="0">ABS(I16-J16)/I16</f>
        <v>0.50852383743649865</v>
      </c>
      <c r="M16" s="62">
        <v>40</v>
      </c>
      <c r="N16" s="2">
        <v>5</v>
      </c>
      <c r="O16" s="23">
        <v>0.94506999999999997</v>
      </c>
    </row>
    <row r="17" spans="2:15" x14ac:dyDescent="0.25">
      <c r="B17" s="19"/>
      <c r="C17" s="19"/>
      <c r="D17" s="19"/>
      <c r="F17" s="62"/>
      <c r="G17" s="44"/>
      <c r="H17" s="1">
        <v>2</v>
      </c>
      <c r="I17" s="1">
        <v>0.57562999999999998</v>
      </c>
      <c r="J17" s="1">
        <v>0.39207999999999998</v>
      </c>
      <c r="K17" s="21">
        <f t="shared" si="0"/>
        <v>0.3188680228619078</v>
      </c>
      <c r="M17" s="62"/>
      <c r="N17" s="22">
        <v>4.5</v>
      </c>
      <c r="O17" s="4">
        <v>0.85201000000000005</v>
      </c>
    </row>
    <row r="18" spans="2:15" x14ac:dyDescent="0.25">
      <c r="B18" s="19"/>
      <c r="C18" s="19"/>
      <c r="D18" s="19"/>
      <c r="F18" s="62"/>
      <c r="G18" s="44"/>
      <c r="H18" s="1">
        <v>1</v>
      </c>
      <c r="I18" s="1">
        <v>0.41982999999999998</v>
      </c>
      <c r="J18" s="1">
        <v>0.38838</v>
      </c>
      <c r="K18" s="21">
        <f t="shared" si="0"/>
        <v>7.4911273610747162E-2</v>
      </c>
      <c r="M18" s="62"/>
      <c r="N18" s="22">
        <v>4</v>
      </c>
      <c r="O18" s="4">
        <v>0.75931999999999999</v>
      </c>
    </row>
    <row r="19" spans="2:15" x14ac:dyDescent="0.25">
      <c r="B19" s="19"/>
      <c r="C19" s="19"/>
      <c r="D19" s="19"/>
      <c r="F19" s="62"/>
      <c r="G19" s="44"/>
      <c r="H19" s="1">
        <v>0.5</v>
      </c>
      <c r="I19" s="1">
        <v>0.39674999999999999</v>
      </c>
      <c r="J19" s="1">
        <v>0.38689000000000001</v>
      </c>
      <c r="K19" s="21">
        <f t="shared" si="0"/>
        <v>2.4851921865154329E-2</v>
      </c>
      <c r="M19" s="62"/>
      <c r="N19" s="22">
        <v>3.5</v>
      </c>
      <c r="O19" s="4">
        <v>0.66674</v>
      </c>
    </row>
    <row r="20" spans="2:15" x14ac:dyDescent="0.25">
      <c r="B20" s="19"/>
      <c r="C20" s="19"/>
      <c r="D20" s="19"/>
      <c r="F20" s="62"/>
      <c r="G20" s="44"/>
      <c r="H20" s="1">
        <v>0.25</v>
      </c>
      <c r="I20" s="1">
        <v>0.38911000000000001</v>
      </c>
      <c r="J20" s="1">
        <v>0.38621</v>
      </c>
      <c r="K20" s="21">
        <f t="shared" si="0"/>
        <v>7.4529053481021141E-3</v>
      </c>
      <c r="M20" s="62"/>
      <c r="N20" s="22">
        <v>3</v>
      </c>
      <c r="O20" s="4">
        <v>0.57403000000000004</v>
      </c>
    </row>
    <row r="21" spans="2:15" x14ac:dyDescent="0.25">
      <c r="B21" s="19"/>
      <c r="C21" s="19"/>
      <c r="D21" s="19"/>
      <c r="F21" s="62"/>
      <c r="G21" s="44"/>
      <c r="H21" s="1">
        <v>0.125</v>
      </c>
      <c r="I21" s="1">
        <v>0.38714999999999999</v>
      </c>
      <c r="J21" s="1">
        <v>0.38595000000000002</v>
      </c>
      <c r="K21" s="21">
        <f t="shared" si="0"/>
        <v>3.0995738086012628E-3</v>
      </c>
      <c r="M21" s="62"/>
      <c r="N21" s="22">
        <v>2.5</v>
      </c>
      <c r="O21" s="4">
        <v>0.48092000000000001</v>
      </c>
    </row>
    <row r="22" spans="2:15" x14ac:dyDescent="0.25">
      <c r="B22" s="19"/>
      <c r="C22" s="19"/>
      <c r="D22" s="19"/>
      <c r="F22" s="62"/>
      <c r="G22" s="44"/>
      <c r="H22" s="1">
        <v>6.25E-2</v>
      </c>
      <c r="I22" s="1">
        <v>0.38653999999999999</v>
      </c>
      <c r="J22" s="1">
        <v>0.38585999999999998</v>
      </c>
      <c r="K22" s="21">
        <f t="shared" si="0"/>
        <v>1.7591969783205203E-3</v>
      </c>
      <c r="M22" s="62"/>
      <c r="N22" s="22">
        <v>2</v>
      </c>
      <c r="O22" s="4">
        <v>0.38714999999999999</v>
      </c>
    </row>
    <row r="23" spans="2:15" ht="15.75" thickBot="1" x14ac:dyDescent="0.3">
      <c r="B23" s="19"/>
      <c r="C23" s="19"/>
      <c r="D23" s="19"/>
      <c r="F23" s="63"/>
      <c r="G23" s="51"/>
      <c r="H23" s="5">
        <v>3.125E-2</v>
      </c>
      <c r="I23" s="5">
        <v>0.38597999999999999</v>
      </c>
      <c r="J23" s="5">
        <v>0.38572000000000001</v>
      </c>
      <c r="K23" s="31">
        <f>ABS(I23-J23)/I23</f>
        <v>6.7361003160780995E-4</v>
      </c>
      <c r="M23" s="62"/>
      <c r="N23" s="1">
        <v>1.5</v>
      </c>
      <c r="O23" s="4">
        <v>0.29246</v>
      </c>
    </row>
    <row r="24" spans="2:15" x14ac:dyDescent="0.25">
      <c r="F24" s="71" t="s">
        <v>40</v>
      </c>
      <c r="G24" s="45"/>
      <c r="H24" s="45"/>
      <c r="I24" s="45"/>
      <c r="J24" s="45"/>
      <c r="K24" s="40"/>
      <c r="M24" s="62"/>
      <c r="N24" s="1">
        <v>1</v>
      </c>
      <c r="O24" s="4">
        <v>0.19656999999999999</v>
      </c>
    </row>
    <row r="25" spans="2:15" ht="15.75" thickBot="1" x14ac:dyDescent="0.3">
      <c r="F25" s="70"/>
      <c r="G25" s="49"/>
      <c r="H25" s="49"/>
      <c r="I25" s="49"/>
      <c r="J25" s="49"/>
      <c r="K25" s="72"/>
      <c r="M25" s="62"/>
      <c r="N25" s="1">
        <v>0.5</v>
      </c>
      <c r="O25" s="4">
        <v>9.9181000000000005E-2</v>
      </c>
    </row>
    <row r="26" spans="2:15" x14ac:dyDescent="0.25">
      <c r="M26" s="62"/>
      <c r="N26" s="1">
        <v>0.1</v>
      </c>
      <c r="O26" s="4">
        <v>1.9994999999999999E-2</v>
      </c>
    </row>
    <row r="27" spans="2:15" ht="15.75" thickBot="1" x14ac:dyDescent="0.3">
      <c r="M27" s="63"/>
      <c r="N27" s="5">
        <v>0.05</v>
      </c>
      <c r="O27" s="6">
        <v>1.0008E-2</v>
      </c>
    </row>
    <row r="28" spans="2:15" x14ac:dyDescent="0.25">
      <c r="M28" s="62">
        <v>65</v>
      </c>
      <c r="N28" s="2">
        <v>5</v>
      </c>
      <c r="O28" s="23">
        <v>0.22969999999999999</v>
      </c>
    </row>
    <row r="29" spans="2:15" x14ac:dyDescent="0.25">
      <c r="M29" s="62"/>
      <c r="N29" s="22">
        <v>4.5</v>
      </c>
      <c r="O29" s="4">
        <v>0.20669999999999999</v>
      </c>
    </row>
    <row r="30" spans="2:15" x14ac:dyDescent="0.25">
      <c r="M30" s="62"/>
      <c r="N30" s="22">
        <v>4</v>
      </c>
      <c r="O30" s="4">
        <v>0.18379000000000001</v>
      </c>
    </row>
    <row r="31" spans="2:15" x14ac:dyDescent="0.25">
      <c r="M31" s="62"/>
      <c r="N31" s="22">
        <v>3.5</v>
      </c>
      <c r="O31" s="4">
        <v>0.16094</v>
      </c>
    </row>
    <row r="32" spans="2:15" x14ac:dyDescent="0.25">
      <c r="H32" s="19"/>
      <c r="I32" s="19"/>
      <c r="M32" s="62"/>
      <c r="N32" s="22">
        <v>3</v>
      </c>
      <c r="O32" s="4">
        <v>0.13811000000000001</v>
      </c>
    </row>
    <row r="33" spans="8:15" x14ac:dyDescent="0.25">
      <c r="H33" s="19"/>
      <c r="I33" s="19"/>
      <c r="M33" s="62"/>
      <c r="N33" s="22">
        <v>2.5</v>
      </c>
      <c r="O33" s="4">
        <v>0.11527999999999999</v>
      </c>
    </row>
    <row r="34" spans="8:15" x14ac:dyDescent="0.25">
      <c r="H34" s="19"/>
      <c r="I34" s="19"/>
      <c r="M34" s="62"/>
      <c r="N34" s="22">
        <v>2</v>
      </c>
      <c r="O34" s="4">
        <v>9.2411999999999994E-2</v>
      </c>
    </row>
    <row r="35" spans="8:15" x14ac:dyDescent="0.25">
      <c r="H35" s="19"/>
      <c r="I35" s="19"/>
      <c r="M35" s="62"/>
      <c r="N35" s="1">
        <v>1.5</v>
      </c>
      <c r="O35" s="4">
        <v>6.9482000000000002E-2</v>
      </c>
    </row>
    <row r="36" spans="8:15" x14ac:dyDescent="0.25">
      <c r="H36" s="19"/>
      <c r="I36" s="19"/>
      <c r="M36" s="62"/>
      <c r="N36" s="1">
        <v>1</v>
      </c>
      <c r="O36" s="4">
        <v>4.6457999999999999E-2</v>
      </c>
    </row>
    <row r="37" spans="8:15" x14ac:dyDescent="0.25">
      <c r="H37" s="19"/>
      <c r="I37" s="19"/>
      <c r="M37" s="62"/>
      <c r="N37" s="1">
        <v>0.5</v>
      </c>
      <c r="O37" s="4">
        <v>2.3307999999999999E-2</v>
      </c>
    </row>
    <row r="38" spans="8:15" x14ac:dyDescent="0.25">
      <c r="H38" s="19"/>
      <c r="I38" s="19"/>
      <c r="M38" s="62"/>
      <c r="N38" s="1">
        <v>0.1</v>
      </c>
      <c r="O38" s="4">
        <v>4.6756999999999996E-3</v>
      </c>
    </row>
    <row r="39" spans="8:15" ht="15.75" thickBot="1" x14ac:dyDescent="0.3">
      <c r="H39" s="19"/>
      <c r="I39" s="19"/>
      <c r="M39" s="63"/>
      <c r="N39" s="5">
        <v>0.05</v>
      </c>
      <c r="O39" s="6">
        <v>2.3387999999999998E-3</v>
      </c>
    </row>
    <row r="40" spans="8:15" x14ac:dyDescent="0.25">
      <c r="M40" s="41" t="s">
        <v>42</v>
      </c>
      <c r="N40" s="64"/>
      <c r="O40" s="65"/>
    </row>
    <row r="41" spans="8:15" x14ac:dyDescent="0.25">
      <c r="M41" s="42"/>
      <c r="N41" s="73"/>
      <c r="O41" s="74"/>
    </row>
    <row r="42" spans="8:15" ht="15.75" thickBot="1" x14ac:dyDescent="0.3">
      <c r="M42" s="43"/>
      <c r="N42" s="66"/>
      <c r="O42" s="67"/>
    </row>
  </sheetData>
  <mergeCells count="12">
    <mergeCell ref="M28:M39"/>
    <mergeCell ref="M4:M15"/>
    <mergeCell ref="M16:M27"/>
    <mergeCell ref="M40:O42"/>
    <mergeCell ref="B12:D13"/>
    <mergeCell ref="G4:G15"/>
    <mergeCell ref="F4:F15"/>
    <mergeCell ref="F24:K25"/>
    <mergeCell ref="B4:B7"/>
    <mergeCell ref="B8:B11"/>
    <mergeCell ref="F16:F23"/>
    <mergeCell ref="G16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EXPERIMENTAL</vt:lpstr>
      <vt:lpstr>INCERTITUDES</vt:lpstr>
      <vt:lpstr>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brousseau</dc:creator>
  <cp:lastModifiedBy>Émile Brousseau</cp:lastModifiedBy>
  <dcterms:created xsi:type="dcterms:W3CDTF">2026-04-07T14:09:05Z</dcterms:created>
  <dcterms:modified xsi:type="dcterms:W3CDTF">2026-04-13T15:08:29Z</dcterms:modified>
</cp:coreProperties>
</file>