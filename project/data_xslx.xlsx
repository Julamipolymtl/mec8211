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ENERAL" sheetId="1" state="visible" r:id="rId3"/>
    <sheet name="EXPERIMENTAL" sheetId="2" state="visible" r:id="rId4"/>
    <sheet name="INCERTITUDES" sheetId="3" state="visible" r:id="rId5"/>
    <sheet name="SIMUL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<sst xmlns="http://schemas.openxmlformats.org/spreadsheetml/2006/main" count="115" uniqueCount="65">
  <si>
    <t xml:space="preserve">Test</t>
  </si>
  <si>
    <t xml:space="preserve">Éprouvette</t>
  </si>
  <si>
    <t xml:space="preserve">Distance supports</t>
  </si>
  <si>
    <t xml:space="preserve">Déplacement imposé</t>
  </si>
  <si>
    <t xml:space="preserve">fréquence</t>
  </si>
  <si>
    <t xml:space="preserve">Sampling rate</t>
  </si>
  <si>
    <t xml:space="preserve">vitesse de déplacement</t>
  </si>
  <si>
    <t xml:space="preserve">Force résultante Expérimentale</t>
  </si>
  <si>
    <t xml:space="preserve">Force résultante Simulée</t>
  </si>
  <si>
    <t xml:space="preserve">Diamètre supports</t>
  </si>
  <si>
    <t xml:space="preserve">masse</t>
  </si>
  <si>
    <t xml:space="preserve">Diametre mesuré</t>
  </si>
  <si>
    <t xml:space="preserve">Longueur mesurée</t>
  </si>
  <si>
    <t xml:space="preserve">#</t>
  </si>
  <si>
    <t xml:space="preserve">mm</t>
  </si>
  <si>
    <t xml:space="preserve">hz</t>
  </si>
  <si>
    <t xml:space="preserve">mm/s</t>
  </si>
  <si>
    <t xml:space="preserve">N</t>
  </si>
  <si>
    <t xml:space="preserve">4,3mm</t>
  </si>
  <si>
    <t xml:space="preserve">g</t>
  </si>
  <si>
    <t xml:space="preserve">incertitude</t>
  </si>
  <si>
    <r>
      <rPr>
        <sz val="11"/>
        <color theme="1"/>
        <rFont val="Aptos Narrow"/>
        <family val="2"/>
        <charset val="1"/>
      </rPr>
      <t xml:space="preserve">Force résultante sur une éprouvette de TPU avec une distance de </t>
    </r>
    <r>
      <rPr>
        <b val="true"/>
        <sz val="11"/>
        <color theme="1"/>
        <rFont val="Aptos Narrow"/>
        <family val="2"/>
        <charset val="1"/>
      </rPr>
      <t xml:space="preserve">60mm</t>
    </r>
    <r>
      <rPr>
        <sz val="11"/>
        <color theme="1"/>
        <rFont val="Aptos Narrow"/>
        <family val="2"/>
        <charset val="1"/>
      </rPr>
      <t xml:space="preserve"> entre les supports et un déplacement de</t>
    </r>
    <r>
      <rPr>
        <b val="true"/>
        <sz val="11"/>
        <color theme="1"/>
        <rFont val="Aptos Narrow"/>
        <family val="2"/>
        <charset val="1"/>
      </rPr>
      <t xml:space="preserve"> 5mm</t>
    </r>
    <r>
      <rPr>
        <sz val="11"/>
        <color theme="1"/>
        <rFont val="Aptos Narrow"/>
        <family val="2"/>
        <charset val="1"/>
      </rPr>
      <t xml:space="preserve"> imposé au centre du beam</t>
    </r>
  </si>
  <si>
    <t xml:space="preserve">1.18</t>
  </si>
  <si>
    <t xml:space="preserve">1.10</t>
  </si>
  <si>
    <t xml:space="preserve">1.13</t>
  </si>
  <si>
    <t xml:space="preserve">1.12</t>
  </si>
  <si>
    <t xml:space="preserve">1.15</t>
  </si>
  <si>
    <r>
      <rPr>
        <sz val="11"/>
        <color theme="1"/>
        <rFont val="Aptos Narrow"/>
        <family val="2"/>
        <charset val="1"/>
      </rPr>
      <t xml:space="preserve">Force résultante sur une éprouvette de TPU avec une distance de </t>
    </r>
    <r>
      <rPr>
        <b val="true"/>
        <sz val="11"/>
        <color theme="1"/>
        <rFont val="Aptos Narrow"/>
        <family val="2"/>
        <charset val="1"/>
      </rPr>
      <t xml:space="preserve">60mm</t>
    </r>
    <r>
      <rPr>
        <sz val="11"/>
        <color theme="1"/>
        <rFont val="Aptos Narrow"/>
        <family val="2"/>
        <charset val="1"/>
      </rPr>
      <t xml:space="preserve"> entre les supports et un déplacement de 4</t>
    </r>
    <r>
      <rPr>
        <b val="true"/>
        <sz val="11"/>
        <color theme="1"/>
        <rFont val="Aptos Narrow"/>
        <family val="2"/>
        <charset val="1"/>
      </rPr>
      <t xml:space="preserve">mm</t>
    </r>
    <r>
      <rPr>
        <sz val="11"/>
        <color theme="1"/>
        <rFont val="Aptos Narrow"/>
        <family val="2"/>
        <charset val="1"/>
      </rPr>
      <t xml:space="preserve"> imposé au centre du beam</t>
    </r>
  </si>
  <si>
    <r>
      <rPr>
        <sz val="11"/>
        <color theme="1"/>
        <rFont val="Aptos Narrow"/>
        <family val="2"/>
        <charset val="1"/>
      </rPr>
      <t xml:space="preserve">Force résultante sur une éprouvette de TPU avec une distance de </t>
    </r>
    <r>
      <rPr>
        <b val="true"/>
        <sz val="11"/>
        <color theme="1"/>
        <rFont val="Aptos Narrow"/>
        <family val="2"/>
        <charset val="1"/>
      </rPr>
      <t xml:space="preserve">60mm</t>
    </r>
    <r>
      <rPr>
        <sz val="11"/>
        <color theme="1"/>
        <rFont val="Aptos Narrow"/>
        <family val="2"/>
        <charset val="1"/>
      </rPr>
      <t xml:space="preserve"> entre les supports et un déplacement de 3</t>
    </r>
    <r>
      <rPr>
        <b val="true"/>
        <sz val="11"/>
        <color theme="1"/>
        <rFont val="Aptos Narrow"/>
        <family val="2"/>
        <charset val="1"/>
      </rPr>
      <t xml:space="preserve">mm</t>
    </r>
    <r>
      <rPr>
        <sz val="11"/>
        <color theme="1"/>
        <rFont val="Aptos Narrow"/>
        <family val="2"/>
        <charset val="1"/>
      </rPr>
      <t xml:space="preserve"> imposé au centre du beam</t>
    </r>
  </si>
  <si>
    <r>
      <rPr>
        <sz val="11"/>
        <color theme="1"/>
        <rFont val="Aptos Narrow"/>
        <family val="2"/>
        <charset val="1"/>
      </rPr>
      <t xml:space="preserve">Force résultante sur une éprouvette de TPU avec une distance de 40</t>
    </r>
    <r>
      <rPr>
        <b val="true"/>
        <sz val="11"/>
        <color theme="1"/>
        <rFont val="Aptos Narrow"/>
        <family val="2"/>
        <charset val="1"/>
      </rPr>
      <t xml:space="preserve">mm</t>
    </r>
    <r>
      <rPr>
        <sz val="11"/>
        <color theme="1"/>
        <rFont val="Aptos Narrow"/>
        <family val="2"/>
        <charset val="1"/>
      </rPr>
      <t xml:space="preserve"> entre les supports et un déplacement de</t>
    </r>
    <r>
      <rPr>
        <b val="true"/>
        <sz val="11"/>
        <color theme="1"/>
        <rFont val="Aptos Narrow"/>
        <family val="2"/>
        <charset val="1"/>
      </rPr>
      <t xml:space="preserve"> 5mm</t>
    </r>
    <r>
      <rPr>
        <sz val="11"/>
        <color theme="1"/>
        <rFont val="Aptos Narrow"/>
        <family val="2"/>
        <charset val="1"/>
      </rPr>
      <t xml:space="preserve"> imposé au centre du beam</t>
    </r>
  </si>
  <si>
    <t xml:space="preserve">40.02</t>
  </si>
  <si>
    <r>
      <rPr>
        <sz val="11"/>
        <color theme="1"/>
        <rFont val="Aptos Narrow"/>
        <family val="2"/>
        <charset val="1"/>
      </rPr>
      <t xml:space="preserve">Force résultante sur une éprouvette de TPU avec une distance de 40</t>
    </r>
    <r>
      <rPr>
        <b val="true"/>
        <sz val="11"/>
        <color theme="1"/>
        <rFont val="Aptos Narrow"/>
        <family val="2"/>
        <charset val="1"/>
      </rPr>
      <t xml:space="preserve">mm</t>
    </r>
    <r>
      <rPr>
        <sz val="11"/>
        <color theme="1"/>
        <rFont val="Aptos Narrow"/>
        <family val="2"/>
        <charset val="1"/>
      </rPr>
      <t xml:space="preserve"> entre les supports et un déplacement de 4</t>
    </r>
    <r>
      <rPr>
        <b val="true"/>
        <sz val="11"/>
        <color theme="1"/>
        <rFont val="Aptos Narrow"/>
        <family val="2"/>
        <charset val="1"/>
      </rPr>
      <t xml:space="preserve">mm</t>
    </r>
    <r>
      <rPr>
        <sz val="11"/>
        <color theme="1"/>
        <rFont val="Aptos Narrow"/>
        <family val="2"/>
        <charset val="1"/>
      </rPr>
      <t xml:space="preserve"> imposé au centre du beam</t>
    </r>
  </si>
  <si>
    <r>
      <rPr>
        <sz val="11"/>
        <color theme="1"/>
        <rFont val="Aptos Narrow"/>
        <family val="2"/>
        <charset val="1"/>
      </rPr>
      <t xml:space="preserve">Force résultante sur une éprouvette de TPU avec une distance de 40</t>
    </r>
    <r>
      <rPr>
        <b val="true"/>
        <sz val="11"/>
        <color theme="1"/>
        <rFont val="Aptos Narrow"/>
        <family val="2"/>
        <charset val="1"/>
      </rPr>
      <t xml:space="preserve">mm</t>
    </r>
    <r>
      <rPr>
        <sz val="11"/>
        <color theme="1"/>
        <rFont val="Aptos Narrow"/>
        <family val="2"/>
        <charset val="1"/>
      </rPr>
      <t xml:space="preserve"> entre les supports et un déplacement de 3</t>
    </r>
    <r>
      <rPr>
        <b val="true"/>
        <sz val="11"/>
        <color theme="1"/>
        <rFont val="Aptos Narrow"/>
        <family val="2"/>
        <charset val="1"/>
      </rPr>
      <t xml:space="preserve">mm</t>
    </r>
    <r>
      <rPr>
        <sz val="11"/>
        <color theme="1"/>
        <rFont val="Aptos Narrow"/>
        <family val="2"/>
        <charset val="1"/>
      </rPr>
      <t xml:space="preserve"> imposé au centre du beam</t>
    </r>
  </si>
  <si>
    <t xml:space="preserve">Distance entre supports</t>
  </si>
  <si>
    <t xml:space="preserve">Déplacement imposé au centre</t>
  </si>
  <si>
    <t xml:space="preserve">Numéro de spécimen</t>
  </si>
  <si>
    <t xml:space="preserve">Force résultante </t>
  </si>
  <si>
    <t xml:space="preserve">Moyenne</t>
  </si>
  <si>
    <t xml:space="preserve">SRQ, exp</t>
  </si>
  <si>
    <t xml:space="preserve">SRQ, model</t>
  </si>
  <si>
    <t xml:space="preserve">u_num </t>
  </si>
  <si>
    <t xml:space="preserve">u_input</t>
  </si>
  <si>
    <t xml:space="preserve">u_exp_sr </t>
  </si>
  <si>
    <t xml:space="preserve">u_exp_br</t>
  </si>
  <si>
    <t xml:space="preserve">u_exp</t>
  </si>
  <si>
    <t xml:space="preserve">E</t>
  </si>
  <si>
    <t xml:space="preserve">del_model</t>
  </si>
  <si>
    <t xml:space="preserve">u_val</t>
  </si>
  <si>
    <t xml:space="preserve">k u_val</t>
  </si>
  <si>
    <t xml:space="preserve">x</t>
  </si>
  <si>
    <t xml:space="preserve">E-k u_val</t>
  </si>
  <si>
    <t xml:space="preserve">E+k u_val</t>
  </si>
  <si>
    <t xml:space="preserve">60 mm</t>
  </si>
  <si>
    <t xml:space="preserve">40 mm</t>
  </si>
  <si>
    <t xml:space="preserve">k - u</t>
  </si>
  <si>
    <t xml:space="preserve">k + u</t>
  </si>
  <si>
    <t xml:space="preserve">3.5 mm</t>
  </si>
  <si>
    <t xml:space="preserve">1 mm </t>
  </si>
  <si>
    <t xml:space="preserve">Taille des éléments</t>
  </si>
  <si>
    <t xml:space="preserve">Force avec élément quadratique</t>
  </si>
  <si>
    <t xml:space="preserve">Erreur relative</t>
  </si>
  <si>
    <t xml:space="preserve">%</t>
  </si>
  <si>
    <t xml:space="preserve">Mesh de 0,25 mm utilisé triangulaire et linéaire</t>
  </si>
  <si>
    <t xml:space="preserve">Les éléments sont linéaire triangulaire sur un modèle 2D. Le matériau est le TPU-60A modélisé par un matériau hyper-élastique. Il est paramétré dans ansys par un polynome de degré 2 avec les coefficients mentionnés dans l'article sur le TPU-60A. Les grands déplacement ont été activés pour tenir compte de l'hyper-élasticité du matériel.</t>
  </si>
  <si>
    <t xml:space="preserve">Mesh de 0,125 mm utilisé triangulaire et linéaire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</si>
</sst>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6"/>
      <color rgb="FF0A0A0A"/>
      <name val="Arial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5"/>
        <bgColor rgb="FF333333"/>
      </patternFill>
    </fill>
    <fill>
      <patternFill patternType="solid">
        <fgColor theme="4" tint="0.5999"/>
        <bgColor rgb="FFBFBFBF"/>
      </patternFill>
    </fill>
    <fill>
      <patternFill patternType="solid">
        <fgColor theme="3" tint="0.8999"/>
        <bgColor rgb="FFF2F2F2"/>
      </patternFill>
    </fill>
    <fill>
      <patternFill patternType="solid">
        <fgColor theme="0" tint="-0.05"/>
        <bgColor rgb="FFFFFFF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2F2F2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3041"/>
      <rgbColor rgb="FF4EA72E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CA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CA" sz="1400" spc="-1" strike="noStrike">
                <a:solidFill>
                  <a:srgbClr val="595959"/>
                </a:solidFill>
                <a:latin typeface="Aptos Narrow"/>
              </a:rPr>
              <a:t>Erreur modèle pour espacement 60 mm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"Données expérimentales 60 mm"</c:f>
              <c:strCache>
                <c:ptCount val="1"/>
                <c:pt idx="0">
                  <c:v>Données expérimentales 60 mm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errBars>
            <c:errDir val="y"/>
            <c:errBarType val="both"/>
            <c:errValType val="cust"/>
            <c:noEndCap val="0"/>
            <c:plus>
              <c:numRef>
                <c:f>INCERTITUDES!$K$2:$K$19</c:f>
                <c:numCache>
                  <c:formatCode>General</c:formatCode>
                  <c:ptCount val="18"/>
                  <c:pt idx="0">
                    <c:v>0.096136173933574</c:v>
                  </c:pt>
                  <c:pt idx="6">
                    <c:v>0.0597319668990902</c:v>
                  </c:pt>
                  <c:pt idx="12">
                    <c:v>0.0568122681397999</c:v>
                  </c:pt>
                </c:numCache>
              </c:numRef>
            </c:plus>
            <c:minus>
              <c:numRef>
                <c:f>INCERTITUDES!$K$2:$K$19</c:f>
                <c:numCache>
                  <c:formatCode>General</c:formatCode>
                  <c:ptCount val="18"/>
                  <c:pt idx="0">
                    <c:v>0.096136173933574</c:v>
                  </c:pt>
                  <c:pt idx="6">
                    <c:v>0.0597319668990902</c:v>
                  </c:pt>
                  <c:pt idx="12">
                    <c:v>0.0568122681397999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ln w="9360">
                <a:solidFill>
                  <a:srgbClr val="595959"/>
                </a:solidFill>
                <a:round/>
              </a:ln>
            </c:spPr>
          </c:errBars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INCERTITUDES!$H$2:$H$19</c:f>
              <c:numCache>
                <c:formatCode>General</c:formatCode>
                <c:ptCount val="18"/>
                <c:pt idx="0">
                  <c:v>-0.296033211126237</c:v>
                </c:pt>
                <c:pt idx="6">
                  <c:v>-0.242381531745127</c:v>
                </c:pt>
                <c:pt idx="12">
                  <c:v>-0.199165562490578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196b2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96b24"/>
                </a:solidFill>
                <a:prstDash val="sysDot"/>
                <a:round/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INCERTITUDES!$M$2:$M$19</c:f>
              <c:numCache>
                <c:formatCode>General</c:formatCode>
                <c:ptCount val="18"/>
                <c:pt idx="0">
                  <c:v>-0.392169385059811</c:v>
                </c:pt>
                <c:pt idx="6">
                  <c:v>-0.302113498644217</c:v>
                </c:pt>
                <c:pt idx="12">
                  <c:v>-0.255977830630378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4ea72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ea72e"/>
                </a:solidFill>
                <a:prstDash val="sysDot"/>
                <a:round/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INCERTITUDES!$N$2:$N$19</c:f>
              <c:numCache>
                <c:formatCode>General</c:formatCode>
                <c:ptCount val="18"/>
                <c:pt idx="0">
                  <c:v>-0.199897037192663</c:v>
                </c:pt>
                <c:pt idx="6">
                  <c:v>-0.182649564846037</c:v>
                </c:pt>
                <c:pt idx="12">
                  <c:v>-0.142353294350778</c:v>
                </c:pt>
              </c:numCache>
            </c:numRef>
          </c:yVal>
          <c:smooth val="0"/>
        </c:ser>
        <c:axId val="7137359"/>
        <c:axId val="73669671"/>
      </c:scatterChart>
      <c:valAx>
        <c:axId val="713735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3669671"/>
        <c:crosses val="autoZero"/>
        <c:crossBetween val="midCat"/>
      </c:valAx>
      <c:valAx>
        <c:axId val="736696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13735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CA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CA" sz="1400" spc="-1" strike="noStrike">
                <a:solidFill>
                  <a:srgbClr val="595959"/>
                </a:solidFill>
                <a:latin typeface="Aptos Narrow"/>
              </a:rPr>
              <a:t>Erreur modèle pour espacement 40 mm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"Données expérimentales 60 mm"</c:f>
              <c:strCache>
                <c:ptCount val="1"/>
                <c:pt idx="0">
                  <c:v>Données expérimentales 60 mm</c:v>
                </c:pt>
              </c:strCache>
            </c:strRef>
          </c:tx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errBars>
            <c:errDir val="y"/>
            <c:errBarType val="both"/>
            <c:errValType val="cust"/>
            <c:noEndCap val="0"/>
            <c:plus>
              <c:numRef>
                <c:f>INCERTITUDES!$K$20:$K$37</c:f>
                <c:numCache>
                  <c:formatCode>General</c:formatCode>
                  <c:ptCount val="18"/>
                  <c:pt idx="0">
                    <c:v>0.263137251137727</c:v>
                  </c:pt>
                  <c:pt idx="6">
                    <c:v>0.197670745494729</c:v>
                  </c:pt>
                  <c:pt idx="12">
                    <c:v>0.182877167233561</c:v>
                  </c:pt>
                </c:numCache>
              </c:numRef>
            </c:plus>
            <c:minus>
              <c:numRef>
                <c:f>INCERTITUDES!$K$20:$K$37</c:f>
                <c:numCache>
                  <c:formatCode>General</c:formatCode>
                  <c:ptCount val="18"/>
                  <c:pt idx="0">
                    <c:v>0.263137251137727</c:v>
                  </c:pt>
                  <c:pt idx="6">
                    <c:v>0.197670745494729</c:v>
                  </c:pt>
                  <c:pt idx="12">
                    <c:v>0.182877167233561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ln w="9360">
                <a:solidFill>
                  <a:srgbClr val="595959"/>
                </a:solidFill>
                <a:round/>
              </a:ln>
            </c:spPr>
          </c:errBars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INCERTITUDES!$H$20:$H$37</c:f>
              <c:numCache>
                <c:formatCode>General</c:formatCode>
                <c:ptCount val="18"/>
                <c:pt idx="0">
                  <c:v>-0.428616204649942</c:v>
                </c:pt>
                <c:pt idx="6">
                  <c:v>-0.41926333148298</c:v>
                </c:pt>
                <c:pt idx="12">
                  <c:v>-0.343282485829255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196b2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96b24"/>
                </a:solidFill>
                <a:prstDash val="sysDot"/>
                <a:round/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INCERTITUDES!$M$20:$M$37</c:f>
              <c:numCache>
                <c:formatCode>General</c:formatCode>
                <c:ptCount val="18"/>
                <c:pt idx="0">
                  <c:v>-0.691753455787669</c:v>
                </c:pt>
                <c:pt idx="6">
                  <c:v>-0.616934076977709</c:v>
                </c:pt>
                <c:pt idx="12">
                  <c:v>-0.526159653062816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4ea72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ea72e"/>
                </a:solidFill>
                <a:prstDash val="sysDot"/>
                <a:round/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INCERTITUDES!$L$2:$L$19</c:f>
              <c:numCache>
                <c:formatCode>General</c:formatCode>
                <c:ptCount val="18"/>
                <c:pt idx="0">
                  <c:v>5</c:v>
                </c:pt>
                <c:pt idx="6">
                  <c:v>4</c:v>
                </c:pt>
                <c:pt idx="12">
                  <c:v>3</c:v>
                </c:pt>
              </c:numCache>
            </c:numRef>
          </c:xVal>
          <c:yVal>
            <c:numRef>
              <c:f>INCERTITUDES!$N$20:$N$37</c:f>
              <c:numCache>
                <c:formatCode>General</c:formatCode>
                <c:ptCount val="18"/>
                <c:pt idx="0">
                  <c:v>-0.165478953512215</c:v>
                </c:pt>
                <c:pt idx="6">
                  <c:v>-0.221592585988251</c:v>
                </c:pt>
                <c:pt idx="12">
                  <c:v>-0.160405318595694</c:v>
                </c:pt>
              </c:numCache>
            </c:numRef>
          </c:yVal>
          <c:smooth val="0"/>
        </c:ser>
        <c:axId val="21146355"/>
        <c:axId val="15276763"/>
      </c:scatterChart>
      <c:valAx>
        <c:axId val="2114635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5276763"/>
        <c:crosses val="autoZero"/>
        <c:crossBetween val="midCat"/>
      </c:valAx>
      <c:valAx>
        <c:axId val="152767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11463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145080</xdr:colOff>
      <xdr:row>8</xdr:row>
      <xdr:rowOff>12960</xdr:rowOff>
    </xdr:from>
    <xdr:to>
      <xdr:col>22</xdr:col>
      <xdr:colOff>219960</xdr:colOff>
      <xdr:row>23</xdr:row>
      <xdr:rowOff>75600</xdr:rowOff>
    </xdr:to>
    <xdr:graphicFrame>
      <xdr:nvGraphicFramePr>
        <xdr:cNvPr id="0" name="Chart 3"/>
        <xdr:cNvGraphicFramePr/>
      </xdr:nvGraphicFramePr>
      <xdr:xfrm>
        <a:off x="10562400" y="1937160"/>
        <a:ext cx="5096880" cy="277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25</xdr:row>
      <xdr:rowOff>0</xdr:rowOff>
    </xdr:from>
    <xdr:to>
      <xdr:col>22</xdr:col>
      <xdr:colOff>74880</xdr:colOff>
      <xdr:row>40</xdr:row>
      <xdr:rowOff>62640</xdr:rowOff>
    </xdr:to>
    <xdr:graphicFrame>
      <xdr:nvGraphicFramePr>
        <xdr:cNvPr id="1" name="Chart 4"/>
        <xdr:cNvGraphicFramePr/>
      </xdr:nvGraphicFramePr>
      <xdr:xfrm>
        <a:off x="10417320" y="5000760"/>
        <a:ext cx="5096880" cy="277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40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selection pane="topLeft" activeCell="D5" activeCellId="0" sqref="D5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29.6"/>
    <col collapsed="false" customWidth="true" hidden="false" outlineLevel="0" max="9" min="3" style="0" width="12.86"/>
    <col collapsed="false" customWidth="true" hidden="false" outlineLevel="0" max="10" min="10" style="0" width="12"/>
    <col collapsed="false" customWidth="true" hidden="false" outlineLevel="0" max="12" min="12" style="0" width="14.13"/>
    <col collapsed="false" customWidth="true" hidden="false" outlineLevel="0" max="14" min="14" style="0" width="12.26"/>
  </cols>
  <sheetData>
    <row r="2" customFormat="false" ht="61.15" hidden="false" customHeight="true" outlineLevel="0" collapsed="false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3" t="s">
        <v>8</v>
      </c>
      <c r="L2" s="4" t="s">
        <v>9</v>
      </c>
      <c r="N2" s="2" t="s">
        <v>1</v>
      </c>
      <c r="O2" s="2" t="s">
        <v>10</v>
      </c>
      <c r="P2" s="2" t="s">
        <v>11</v>
      </c>
      <c r="Q2" s="2"/>
      <c r="R2" s="2"/>
      <c r="S2" s="2" t="s">
        <v>12</v>
      </c>
    </row>
    <row r="3" customFormat="false" ht="16.4" hidden="false" customHeight="false" outlineLevel="0" collapsed="false">
      <c r="B3" s="1"/>
      <c r="C3" s="5" t="s">
        <v>13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16</v>
      </c>
      <c r="I3" s="6" t="s">
        <v>17</v>
      </c>
      <c r="J3" s="6" t="s">
        <v>17</v>
      </c>
      <c r="L3" s="7" t="s">
        <v>18</v>
      </c>
      <c r="N3" s="5" t="s">
        <v>13</v>
      </c>
      <c r="O3" s="5" t="s">
        <v>19</v>
      </c>
      <c r="P3" s="5" t="s">
        <v>14</v>
      </c>
      <c r="Q3" s="5" t="s">
        <v>14</v>
      </c>
      <c r="R3" s="5" t="s">
        <v>14</v>
      </c>
      <c r="S3" s="5" t="s">
        <v>14</v>
      </c>
    </row>
    <row r="4" customFormat="false" ht="16.4" hidden="false" customHeight="false" outlineLevel="0" collapsed="false">
      <c r="B4" s="1"/>
      <c r="C4" s="8" t="s">
        <v>20</v>
      </c>
      <c r="D4" s="8" t="n">
        <v>0.01</v>
      </c>
      <c r="E4" s="8"/>
      <c r="F4" s="8"/>
      <c r="G4" s="8"/>
      <c r="H4" s="8"/>
      <c r="I4" s="9"/>
      <c r="J4" s="9"/>
      <c r="N4" s="8" t="s">
        <v>20</v>
      </c>
      <c r="O4" s="8" t="n">
        <v>0.01</v>
      </c>
      <c r="P4" s="8" t="n">
        <v>0.01</v>
      </c>
      <c r="Q4" s="8" t="n">
        <v>0.01</v>
      </c>
      <c r="R4" s="8" t="n">
        <v>0.01</v>
      </c>
      <c r="S4" s="8" t="n">
        <v>0.01</v>
      </c>
    </row>
    <row r="5" customFormat="false" ht="14.25" hidden="false" customHeight="true" outlineLevel="0" collapsed="false">
      <c r="B5" s="10" t="s">
        <v>21</v>
      </c>
      <c r="C5" s="11" t="n">
        <v>1</v>
      </c>
      <c r="D5" s="12" t="n">
        <v>59.3</v>
      </c>
      <c r="E5" s="12" t="n">
        <v>5</v>
      </c>
      <c r="F5" s="12" t="n">
        <f aca="false">H5/2/E5</f>
        <v>1</v>
      </c>
      <c r="G5" s="12" t="n">
        <v>100</v>
      </c>
      <c r="H5" s="12" t="n">
        <v>10</v>
      </c>
      <c r="I5" s="13" t="n">
        <v>0.483473211126237</v>
      </c>
      <c r="J5" s="14" t="n">
        <v>0.18744</v>
      </c>
      <c r="N5" s="11" t="n">
        <v>1</v>
      </c>
      <c r="O5" s="11" t="s">
        <v>22</v>
      </c>
      <c r="P5" s="11" t="n">
        <v>5.02</v>
      </c>
      <c r="Q5" s="11" t="n">
        <v>4.98</v>
      </c>
      <c r="R5" s="11" t="n">
        <v>5</v>
      </c>
      <c r="S5" s="11" t="n">
        <v>75.01</v>
      </c>
    </row>
    <row r="6" customFormat="false" ht="14.25" hidden="false" customHeight="false" outlineLevel="0" collapsed="false">
      <c r="B6" s="10"/>
      <c r="C6" s="13" t="n">
        <v>2</v>
      </c>
      <c r="D6" s="12"/>
      <c r="E6" s="12"/>
      <c r="F6" s="12"/>
      <c r="G6" s="12"/>
      <c r="H6" s="12"/>
      <c r="I6" s="12"/>
      <c r="J6" s="14"/>
      <c r="N6" s="13" t="n">
        <v>2</v>
      </c>
      <c r="O6" s="13" t="s">
        <v>23</v>
      </c>
      <c r="P6" s="13" t="n">
        <v>5.01</v>
      </c>
      <c r="Q6" s="13" t="n">
        <v>4.99</v>
      </c>
      <c r="R6" s="13" t="n">
        <v>5.03</v>
      </c>
      <c r="S6" s="13" t="n">
        <v>75.46</v>
      </c>
    </row>
    <row r="7" customFormat="false" ht="14.25" hidden="false" customHeight="false" outlineLevel="0" collapsed="false">
      <c r="B7" s="10"/>
      <c r="C7" s="13" t="n">
        <v>3</v>
      </c>
      <c r="D7" s="12"/>
      <c r="E7" s="12"/>
      <c r="F7" s="12"/>
      <c r="G7" s="12"/>
      <c r="H7" s="12"/>
      <c r="I7" s="12"/>
      <c r="J7" s="14"/>
      <c r="N7" s="13" t="n">
        <v>3</v>
      </c>
      <c r="O7" s="13" t="s">
        <v>23</v>
      </c>
      <c r="P7" s="13" t="n">
        <v>4.95</v>
      </c>
      <c r="Q7" s="13" t="n">
        <v>5.01</v>
      </c>
      <c r="R7" s="13" t="n">
        <v>4.96</v>
      </c>
      <c r="S7" s="13" t="n">
        <v>75.52</v>
      </c>
    </row>
    <row r="8" customFormat="false" ht="14.25" hidden="false" customHeight="false" outlineLevel="0" collapsed="false">
      <c r="B8" s="10"/>
      <c r="C8" s="13" t="n">
        <v>4</v>
      </c>
      <c r="D8" s="12"/>
      <c r="E8" s="12"/>
      <c r="F8" s="12"/>
      <c r="G8" s="12"/>
      <c r="H8" s="12"/>
      <c r="I8" s="12"/>
      <c r="J8" s="14"/>
      <c r="N8" s="13" t="n">
        <v>4</v>
      </c>
      <c r="O8" s="13" t="s">
        <v>24</v>
      </c>
      <c r="P8" s="13" t="n">
        <v>4.99</v>
      </c>
      <c r="Q8" s="13" t="n">
        <v>4.97</v>
      </c>
      <c r="R8" s="13" t="n">
        <v>4.97</v>
      </c>
      <c r="S8" s="13" t="n">
        <v>75.7</v>
      </c>
    </row>
    <row r="9" customFormat="false" ht="14.25" hidden="false" customHeight="false" outlineLevel="0" collapsed="false">
      <c r="B9" s="10"/>
      <c r="C9" s="13" t="n">
        <v>5</v>
      </c>
      <c r="D9" s="12"/>
      <c r="E9" s="12"/>
      <c r="F9" s="12"/>
      <c r="G9" s="12"/>
      <c r="H9" s="12"/>
      <c r="I9" s="12"/>
      <c r="J9" s="14"/>
      <c r="N9" s="13" t="n">
        <v>5</v>
      </c>
      <c r="O9" s="13" t="s">
        <v>25</v>
      </c>
      <c r="P9" s="13" t="n">
        <v>4.94</v>
      </c>
      <c r="Q9" s="13" t="n">
        <v>4.83</v>
      </c>
      <c r="R9" s="13" t="n">
        <v>4.95</v>
      </c>
      <c r="S9" s="13" t="n">
        <v>75.68</v>
      </c>
    </row>
    <row r="10" customFormat="false" ht="14.25" hidden="false" customHeight="false" outlineLevel="0" collapsed="false">
      <c r="B10" s="10"/>
      <c r="C10" s="15" t="n">
        <v>6</v>
      </c>
      <c r="D10" s="12"/>
      <c r="E10" s="12"/>
      <c r="F10" s="12"/>
      <c r="G10" s="12"/>
      <c r="H10" s="12"/>
      <c r="I10" s="13"/>
      <c r="J10" s="14"/>
      <c r="N10" s="15" t="n">
        <v>6</v>
      </c>
      <c r="O10" s="15" t="s">
        <v>26</v>
      </c>
      <c r="P10" s="15" t="n">
        <v>4.97</v>
      </c>
      <c r="Q10" s="15" t="n">
        <v>4.93</v>
      </c>
      <c r="R10" s="15" t="n">
        <v>4.99</v>
      </c>
      <c r="S10" s="15" t="n">
        <v>75.9</v>
      </c>
    </row>
    <row r="11" customFormat="false" ht="14.25" hidden="false" customHeight="true" outlineLevel="0" collapsed="false">
      <c r="B11" s="10" t="s">
        <v>27</v>
      </c>
      <c r="C11" s="11" t="n">
        <v>1</v>
      </c>
      <c r="D11" s="12" t="n">
        <v>59.3</v>
      </c>
      <c r="E11" s="12" t="n">
        <v>4</v>
      </c>
      <c r="F11" s="12" t="n">
        <f aca="false">H11/E11/2</f>
        <v>1.25</v>
      </c>
      <c r="G11" s="12" t="n">
        <v>100</v>
      </c>
      <c r="H11" s="12" t="n">
        <v>10</v>
      </c>
      <c r="I11" s="13" t="n">
        <v>0.391771531745127</v>
      </c>
      <c r="J11" s="14" t="n">
        <v>0.14939</v>
      </c>
    </row>
    <row r="12" customFormat="false" ht="14.25" hidden="false" customHeight="false" outlineLevel="0" collapsed="false">
      <c r="B12" s="10"/>
      <c r="C12" s="13" t="n">
        <v>2</v>
      </c>
      <c r="D12" s="12"/>
      <c r="E12" s="12"/>
      <c r="F12" s="12"/>
      <c r="G12" s="12"/>
      <c r="H12" s="12"/>
      <c r="I12" s="12"/>
      <c r="J12" s="14"/>
    </row>
    <row r="13" customFormat="false" ht="14.25" hidden="false" customHeight="false" outlineLevel="0" collapsed="false">
      <c r="B13" s="10"/>
      <c r="C13" s="13" t="n">
        <v>3</v>
      </c>
      <c r="D13" s="12"/>
      <c r="E13" s="12"/>
      <c r="F13" s="12"/>
      <c r="G13" s="12"/>
      <c r="H13" s="12"/>
      <c r="I13" s="12"/>
      <c r="J13" s="14"/>
    </row>
    <row r="14" customFormat="false" ht="14.25" hidden="false" customHeight="false" outlineLevel="0" collapsed="false">
      <c r="B14" s="10"/>
      <c r="C14" s="13" t="n">
        <v>4</v>
      </c>
      <c r="D14" s="12"/>
      <c r="E14" s="12"/>
      <c r="F14" s="12"/>
      <c r="G14" s="12"/>
      <c r="H14" s="12"/>
      <c r="I14" s="12"/>
      <c r="J14" s="14"/>
    </row>
    <row r="15" customFormat="false" ht="14.25" hidden="false" customHeight="false" outlineLevel="0" collapsed="false">
      <c r="B15" s="10"/>
      <c r="C15" s="13" t="n">
        <v>5</v>
      </c>
      <c r="D15" s="12"/>
      <c r="E15" s="12"/>
      <c r="F15" s="12"/>
      <c r="G15" s="12"/>
      <c r="H15" s="12"/>
      <c r="I15" s="12"/>
      <c r="J15" s="14"/>
    </row>
    <row r="16" customFormat="false" ht="14.25" hidden="false" customHeight="false" outlineLevel="0" collapsed="false">
      <c r="B16" s="10"/>
      <c r="C16" s="15" t="n">
        <v>6</v>
      </c>
      <c r="D16" s="12"/>
      <c r="E16" s="12"/>
      <c r="F16" s="12"/>
      <c r="G16" s="12"/>
      <c r="H16" s="12"/>
      <c r="I16" s="13"/>
      <c r="J16" s="14"/>
    </row>
    <row r="17" customFormat="false" ht="14.25" hidden="false" customHeight="true" outlineLevel="0" collapsed="false">
      <c r="B17" s="10" t="s">
        <v>28</v>
      </c>
      <c r="C17" s="11" t="n">
        <v>1</v>
      </c>
      <c r="D17" s="12" t="n">
        <v>59.3</v>
      </c>
      <c r="E17" s="12" t="n">
        <v>3</v>
      </c>
      <c r="F17" s="12" t="n">
        <f aca="false">H17/2/E17</f>
        <v>1.66666666666667</v>
      </c>
      <c r="G17" s="12" t="n">
        <v>100</v>
      </c>
      <c r="H17" s="12" t="n">
        <v>10</v>
      </c>
      <c r="I17" s="13" t="n">
        <v>0.311025562490578</v>
      </c>
      <c r="J17" s="14" t="n">
        <v>0.11186</v>
      </c>
    </row>
    <row r="18" customFormat="false" ht="14.25" hidden="false" customHeight="false" outlineLevel="0" collapsed="false">
      <c r="B18" s="10"/>
      <c r="C18" s="13" t="n">
        <v>2</v>
      </c>
      <c r="D18" s="12"/>
      <c r="E18" s="12"/>
      <c r="F18" s="12"/>
      <c r="G18" s="12"/>
      <c r="H18" s="12"/>
      <c r="I18" s="12"/>
      <c r="J18" s="14"/>
    </row>
    <row r="19" customFormat="false" ht="14.25" hidden="false" customHeight="false" outlineLevel="0" collapsed="false">
      <c r="B19" s="10"/>
      <c r="C19" s="13" t="n">
        <v>3</v>
      </c>
      <c r="D19" s="12"/>
      <c r="E19" s="12"/>
      <c r="F19" s="12"/>
      <c r="G19" s="12"/>
      <c r="H19" s="12"/>
      <c r="I19" s="12"/>
      <c r="J19" s="14"/>
    </row>
    <row r="20" customFormat="false" ht="14.25" hidden="false" customHeight="false" outlineLevel="0" collapsed="false">
      <c r="B20" s="10"/>
      <c r="C20" s="13" t="n">
        <v>4</v>
      </c>
      <c r="D20" s="12"/>
      <c r="E20" s="12"/>
      <c r="F20" s="12"/>
      <c r="G20" s="12"/>
      <c r="H20" s="12"/>
      <c r="I20" s="12"/>
      <c r="J20" s="14"/>
    </row>
    <row r="21" customFormat="false" ht="14.25" hidden="false" customHeight="false" outlineLevel="0" collapsed="false">
      <c r="B21" s="10"/>
      <c r="C21" s="13" t="n">
        <v>5</v>
      </c>
      <c r="D21" s="12"/>
      <c r="E21" s="12"/>
      <c r="F21" s="12"/>
      <c r="G21" s="12"/>
      <c r="H21" s="12"/>
      <c r="I21" s="12"/>
      <c r="J21" s="14"/>
    </row>
    <row r="22" customFormat="false" ht="14.25" hidden="false" customHeight="false" outlineLevel="0" collapsed="false">
      <c r="B22" s="10"/>
      <c r="C22" s="15" t="n">
        <v>6</v>
      </c>
      <c r="D22" s="12"/>
      <c r="E22" s="12"/>
      <c r="F22" s="12"/>
      <c r="G22" s="12"/>
      <c r="H22" s="12"/>
      <c r="I22" s="13"/>
      <c r="J22" s="14"/>
    </row>
    <row r="23" customFormat="false" ht="14.25" hidden="false" customHeight="true" outlineLevel="0" collapsed="false">
      <c r="B23" s="10" t="s">
        <v>29</v>
      </c>
      <c r="C23" s="11" t="n">
        <v>1</v>
      </c>
      <c r="D23" s="12" t="s">
        <v>30</v>
      </c>
      <c r="E23" s="12" t="n">
        <v>5</v>
      </c>
      <c r="F23" s="12" t="n">
        <f aca="false">H23/2/E23</f>
        <v>1</v>
      </c>
      <c r="G23" s="12" t="n">
        <v>100</v>
      </c>
      <c r="H23" s="12" t="n">
        <v>10</v>
      </c>
      <c r="I23" s="16" t="n">
        <v>1.37870620464994</v>
      </c>
      <c r="J23" s="14" t="n">
        <v>0.95009</v>
      </c>
    </row>
    <row r="24" customFormat="false" ht="14.25" hidden="false" customHeight="false" outlineLevel="0" collapsed="false">
      <c r="B24" s="10"/>
      <c r="C24" s="13" t="n">
        <v>2</v>
      </c>
      <c r="D24" s="12"/>
      <c r="E24" s="12"/>
      <c r="F24" s="12"/>
      <c r="G24" s="12"/>
      <c r="H24" s="12"/>
      <c r="I24" s="16"/>
      <c r="J24" s="14"/>
    </row>
    <row r="25" customFormat="false" ht="14.25" hidden="false" customHeight="false" outlineLevel="0" collapsed="false">
      <c r="B25" s="10"/>
      <c r="C25" s="13" t="n">
        <v>3</v>
      </c>
      <c r="D25" s="12"/>
      <c r="E25" s="12"/>
      <c r="F25" s="12"/>
      <c r="G25" s="12"/>
      <c r="H25" s="12"/>
      <c r="I25" s="16"/>
      <c r="J25" s="14"/>
    </row>
    <row r="26" customFormat="false" ht="14.25" hidden="false" customHeight="false" outlineLevel="0" collapsed="false">
      <c r="B26" s="10"/>
      <c r="C26" s="13" t="n">
        <v>4</v>
      </c>
      <c r="D26" s="12"/>
      <c r="E26" s="12"/>
      <c r="F26" s="12"/>
      <c r="G26" s="12"/>
      <c r="H26" s="12"/>
      <c r="I26" s="16"/>
      <c r="J26" s="14"/>
    </row>
    <row r="27" customFormat="false" ht="14.25" hidden="false" customHeight="false" outlineLevel="0" collapsed="false">
      <c r="B27" s="10"/>
      <c r="C27" s="13" t="n">
        <v>5</v>
      </c>
      <c r="D27" s="12"/>
      <c r="E27" s="12"/>
      <c r="F27" s="12"/>
      <c r="G27" s="12"/>
      <c r="H27" s="12"/>
      <c r="I27" s="16"/>
      <c r="J27" s="14"/>
    </row>
    <row r="28" customFormat="false" ht="14.25" hidden="false" customHeight="false" outlineLevel="0" collapsed="false">
      <c r="B28" s="10"/>
      <c r="C28" s="15" t="n">
        <v>6</v>
      </c>
      <c r="D28" s="12"/>
      <c r="E28" s="12"/>
      <c r="F28" s="12"/>
      <c r="G28" s="12"/>
      <c r="H28" s="12"/>
      <c r="I28" s="16"/>
      <c r="J28" s="14"/>
    </row>
    <row r="29" customFormat="false" ht="14.25" hidden="false" customHeight="true" outlineLevel="0" collapsed="false">
      <c r="B29" s="10" t="s">
        <v>31</v>
      </c>
      <c r="C29" s="11" t="n">
        <v>1</v>
      </c>
      <c r="D29" s="12" t="s">
        <v>30</v>
      </c>
      <c r="E29" s="12" t="n">
        <v>4</v>
      </c>
      <c r="F29" s="12" t="n">
        <f aca="false">H29/E29/2</f>
        <v>1.25</v>
      </c>
      <c r="G29" s="12" t="n">
        <v>100</v>
      </c>
      <c r="H29" s="12" t="n">
        <v>10</v>
      </c>
      <c r="I29" s="16" t="n">
        <v>1.18253333148298</v>
      </c>
      <c r="J29" s="14" t="n">
        <v>0.76327</v>
      </c>
    </row>
    <row r="30" customFormat="false" ht="14.25" hidden="false" customHeight="false" outlineLevel="0" collapsed="false">
      <c r="B30" s="10"/>
      <c r="C30" s="13" t="n">
        <v>2</v>
      </c>
      <c r="D30" s="12"/>
      <c r="E30" s="12"/>
      <c r="F30" s="12"/>
      <c r="G30" s="12"/>
      <c r="H30" s="12"/>
      <c r="I30" s="16"/>
      <c r="J30" s="14"/>
    </row>
    <row r="31" customFormat="false" ht="14.25" hidden="false" customHeight="false" outlineLevel="0" collapsed="false">
      <c r="B31" s="10"/>
      <c r="C31" s="13" t="n">
        <v>3</v>
      </c>
      <c r="D31" s="12"/>
      <c r="E31" s="12"/>
      <c r="F31" s="12"/>
      <c r="G31" s="12"/>
      <c r="H31" s="12"/>
      <c r="I31" s="16"/>
      <c r="J31" s="14"/>
    </row>
    <row r="32" customFormat="false" ht="14.25" hidden="false" customHeight="false" outlineLevel="0" collapsed="false">
      <c r="B32" s="10"/>
      <c r="C32" s="13" t="n">
        <v>4</v>
      </c>
      <c r="D32" s="12"/>
      <c r="E32" s="12"/>
      <c r="F32" s="12"/>
      <c r="G32" s="12"/>
      <c r="H32" s="12"/>
      <c r="I32" s="16"/>
      <c r="J32" s="14"/>
    </row>
    <row r="33" customFormat="false" ht="14.25" hidden="false" customHeight="false" outlineLevel="0" collapsed="false">
      <c r="B33" s="10"/>
      <c r="C33" s="13" t="n">
        <v>5</v>
      </c>
      <c r="D33" s="12"/>
      <c r="E33" s="12"/>
      <c r="F33" s="12"/>
      <c r="G33" s="12"/>
      <c r="H33" s="12"/>
      <c r="I33" s="16"/>
      <c r="J33" s="14"/>
    </row>
    <row r="34" customFormat="false" ht="14.25" hidden="false" customHeight="false" outlineLevel="0" collapsed="false">
      <c r="B34" s="10"/>
      <c r="C34" s="15" t="n">
        <v>6</v>
      </c>
      <c r="D34" s="12"/>
      <c r="E34" s="12"/>
      <c r="F34" s="12"/>
      <c r="G34" s="12"/>
      <c r="H34" s="12"/>
      <c r="I34" s="16"/>
      <c r="J34" s="14"/>
    </row>
    <row r="35" customFormat="false" ht="14.25" hidden="false" customHeight="true" outlineLevel="0" collapsed="false">
      <c r="B35" s="10" t="s">
        <v>32</v>
      </c>
      <c r="C35" s="11" t="n">
        <v>1</v>
      </c>
      <c r="D35" s="12" t="s">
        <v>30</v>
      </c>
      <c r="E35" s="12" t="n">
        <v>3</v>
      </c>
      <c r="F35" s="12" t="n">
        <f aca="false">H35/2/E35</f>
        <v>1.66666666666667</v>
      </c>
      <c r="G35" s="12" t="n">
        <v>100</v>
      </c>
      <c r="H35" s="12" t="n">
        <v>10</v>
      </c>
      <c r="I35" s="16" t="n">
        <v>0.920252485829255</v>
      </c>
      <c r="J35" s="14" t="n">
        <v>0.57697</v>
      </c>
    </row>
    <row r="36" customFormat="false" ht="14.25" hidden="false" customHeight="false" outlineLevel="0" collapsed="false">
      <c r="B36" s="10"/>
      <c r="C36" s="13" t="n">
        <v>2</v>
      </c>
      <c r="D36" s="12"/>
      <c r="E36" s="12"/>
      <c r="F36" s="12"/>
      <c r="G36" s="12"/>
      <c r="H36" s="12"/>
      <c r="I36" s="16"/>
      <c r="J36" s="14"/>
    </row>
    <row r="37" customFormat="false" ht="14.25" hidden="false" customHeight="false" outlineLevel="0" collapsed="false">
      <c r="B37" s="10"/>
      <c r="C37" s="13" t="n">
        <v>3</v>
      </c>
      <c r="D37" s="12"/>
      <c r="E37" s="12"/>
      <c r="F37" s="12"/>
      <c r="G37" s="12"/>
      <c r="H37" s="12"/>
      <c r="I37" s="16"/>
      <c r="J37" s="14"/>
    </row>
    <row r="38" customFormat="false" ht="14.25" hidden="false" customHeight="false" outlineLevel="0" collapsed="false">
      <c r="B38" s="10"/>
      <c r="C38" s="13" t="n">
        <v>4</v>
      </c>
      <c r="D38" s="12"/>
      <c r="E38" s="12"/>
      <c r="F38" s="12"/>
      <c r="G38" s="12"/>
      <c r="H38" s="12"/>
      <c r="I38" s="16"/>
      <c r="J38" s="14"/>
    </row>
    <row r="39" customFormat="false" ht="14.25" hidden="false" customHeight="false" outlineLevel="0" collapsed="false">
      <c r="B39" s="10"/>
      <c r="C39" s="13" t="n">
        <v>5</v>
      </c>
      <c r="D39" s="12"/>
      <c r="E39" s="12"/>
      <c r="F39" s="12"/>
      <c r="G39" s="12"/>
      <c r="H39" s="12"/>
      <c r="I39" s="16"/>
      <c r="J39" s="14"/>
    </row>
    <row r="40" customFormat="false" ht="14.25" hidden="false" customHeight="false" outlineLevel="0" collapsed="false">
      <c r="B40" s="10"/>
      <c r="C40" s="15" t="n">
        <v>6</v>
      </c>
      <c r="D40" s="12"/>
      <c r="E40" s="12"/>
      <c r="F40" s="12"/>
      <c r="G40" s="12"/>
      <c r="H40" s="12"/>
      <c r="I40" s="16"/>
      <c r="J40" s="14"/>
    </row>
  </sheetData>
  <mergeCells count="50">
    <mergeCell ref="B2:B4"/>
    <mergeCell ref="P2:R2"/>
    <mergeCell ref="B5:B10"/>
    <mergeCell ref="D5:D10"/>
    <mergeCell ref="E5:E10"/>
    <mergeCell ref="F5:F10"/>
    <mergeCell ref="G5:G10"/>
    <mergeCell ref="H5:H10"/>
    <mergeCell ref="I5:I10"/>
    <mergeCell ref="J5:J10"/>
    <mergeCell ref="B11:B16"/>
    <mergeCell ref="D11:D16"/>
    <mergeCell ref="E11:E16"/>
    <mergeCell ref="F11:F16"/>
    <mergeCell ref="G11:G16"/>
    <mergeCell ref="H11:H16"/>
    <mergeCell ref="I11:I16"/>
    <mergeCell ref="J11:J16"/>
    <mergeCell ref="B17:B22"/>
    <mergeCell ref="D17:D22"/>
    <mergeCell ref="E17:E22"/>
    <mergeCell ref="F17:F22"/>
    <mergeCell ref="G17:G22"/>
    <mergeCell ref="H17:H22"/>
    <mergeCell ref="I17:I22"/>
    <mergeCell ref="J17:J22"/>
    <mergeCell ref="B23:B28"/>
    <mergeCell ref="D23:D28"/>
    <mergeCell ref="E23:E28"/>
    <mergeCell ref="F23:F28"/>
    <mergeCell ref="G23:G28"/>
    <mergeCell ref="H23:H28"/>
    <mergeCell ref="I23:I28"/>
    <mergeCell ref="J23:J28"/>
    <mergeCell ref="B29:B34"/>
    <mergeCell ref="D29:D34"/>
    <mergeCell ref="E29:E34"/>
    <mergeCell ref="F29:F34"/>
    <mergeCell ref="G29:G34"/>
    <mergeCell ref="H29:H34"/>
    <mergeCell ref="I29:I34"/>
    <mergeCell ref="J29:J34"/>
    <mergeCell ref="B35:B40"/>
    <mergeCell ref="D35:D40"/>
    <mergeCell ref="E35:E40"/>
    <mergeCell ref="F35:F40"/>
    <mergeCell ref="G35:G40"/>
    <mergeCell ref="H35:H40"/>
    <mergeCell ref="I35:I40"/>
    <mergeCell ref="J35:J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24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L1" activeCellId="0" sqref="L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7.73"/>
    <col collapsed="false" customWidth="true" hidden="false" outlineLevel="0" max="5" min="5" style="0" width="19.51"/>
    <col collapsed="false" customWidth="true" hidden="false" outlineLevel="0" max="6" min="6" style="0" width="21.48"/>
    <col collapsed="false" customWidth="true" hidden="false" outlineLevel="0" max="12" min="12" style="0" width="18.9"/>
  </cols>
  <sheetData>
    <row r="3" customFormat="false" ht="76.1" hidden="false" customHeight="false" outlineLevel="0" collapsed="false">
      <c r="B3" s="17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H3" s="17" t="s">
        <v>33</v>
      </c>
      <c r="I3" s="2" t="s">
        <v>34</v>
      </c>
      <c r="J3" s="2" t="s">
        <v>35</v>
      </c>
      <c r="K3" s="2" t="s">
        <v>36</v>
      </c>
      <c r="L3" s="2" t="s">
        <v>37</v>
      </c>
    </row>
    <row r="4" customFormat="false" ht="16.4" hidden="false" customHeight="false" outlineLevel="0" collapsed="false">
      <c r="B4" s="18" t="s">
        <v>14</v>
      </c>
      <c r="C4" s="19" t="s">
        <v>14</v>
      </c>
      <c r="D4" s="19"/>
      <c r="E4" s="19" t="s">
        <v>17</v>
      </c>
      <c r="F4" s="19" t="s">
        <v>17</v>
      </c>
      <c r="H4" s="18" t="s">
        <v>14</v>
      </c>
      <c r="I4" s="19" t="s">
        <v>14</v>
      </c>
      <c r="J4" s="19"/>
      <c r="K4" s="19" t="s">
        <v>17</v>
      </c>
      <c r="L4" s="19" t="s">
        <v>17</v>
      </c>
      <c r="O4" s="20"/>
    </row>
    <row r="5" customFormat="false" ht="14.25" hidden="false" customHeight="false" outlineLevel="0" collapsed="false">
      <c r="B5" s="13" t="n">
        <v>60</v>
      </c>
      <c r="C5" s="13" t="n">
        <v>5</v>
      </c>
      <c r="D5" s="13" t="n">
        <v>1</v>
      </c>
      <c r="E5" s="13" t="n">
        <v>0.589530338729111</v>
      </c>
      <c r="F5" s="13" t="n">
        <f aca="false">AVERAGE(E5:E10)</f>
        <v>0.483473211126237</v>
      </c>
      <c r="H5" s="13" t="n">
        <v>40</v>
      </c>
      <c r="I5" s="13" t="n">
        <v>5</v>
      </c>
      <c r="J5" s="13" t="n">
        <v>1</v>
      </c>
      <c r="K5" s="13" t="n">
        <v>1.65921618912762</v>
      </c>
      <c r="L5" s="13" t="n">
        <f aca="false">AVERAGE(K5:K10)</f>
        <v>1.37870620464994</v>
      </c>
    </row>
    <row r="6" customFormat="false" ht="14.25" hidden="false" customHeight="false" outlineLevel="0" collapsed="false">
      <c r="B6" s="13"/>
      <c r="C6" s="13"/>
      <c r="D6" s="13" t="n">
        <v>2</v>
      </c>
      <c r="E6" s="13" t="n">
        <v>0.466483654473238</v>
      </c>
      <c r="F6" s="13"/>
      <c r="H6" s="13"/>
      <c r="I6" s="13"/>
      <c r="J6" s="13" t="n">
        <v>2</v>
      </c>
      <c r="K6" s="13" t="n">
        <v>1.24769338548071</v>
      </c>
      <c r="L6" s="13"/>
    </row>
    <row r="7" customFormat="false" ht="14.25" hidden="false" customHeight="false" outlineLevel="0" collapsed="false">
      <c r="B7" s="13"/>
      <c r="C7" s="13"/>
      <c r="D7" s="13" t="n">
        <v>3</v>
      </c>
      <c r="E7" s="13" t="n">
        <v>0.448983682100099</v>
      </c>
      <c r="F7" s="13"/>
      <c r="H7" s="13"/>
      <c r="I7" s="13"/>
      <c r="J7" s="13" t="n">
        <v>3</v>
      </c>
      <c r="K7" s="13" t="n">
        <v>1.30232611397024</v>
      </c>
      <c r="L7" s="13"/>
    </row>
    <row r="8" customFormat="false" ht="14.25" hidden="false" customHeight="false" outlineLevel="0" collapsed="false">
      <c r="B8" s="13"/>
      <c r="C8" s="13"/>
      <c r="D8" s="13" t="n">
        <v>4</v>
      </c>
      <c r="E8" s="13" t="n">
        <v>0.461014911812699</v>
      </c>
      <c r="F8" s="13"/>
      <c r="H8" s="13"/>
      <c r="I8" s="13"/>
      <c r="J8" s="13" t="n">
        <v>4</v>
      </c>
      <c r="K8" s="13" t="n">
        <v>1.34416198698771</v>
      </c>
      <c r="L8" s="13"/>
    </row>
    <row r="9" customFormat="false" ht="14.25" hidden="false" customHeight="false" outlineLevel="0" collapsed="false">
      <c r="B9" s="13"/>
      <c r="C9" s="13"/>
      <c r="D9" s="13" t="n">
        <v>5</v>
      </c>
      <c r="E9" s="13" t="n">
        <v>0.474139892454588</v>
      </c>
      <c r="F9" s="13"/>
      <c r="H9" s="13"/>
      <c r="I9" s="13"/>
      <c r="J9" s="13" t="n">
        <v>5</v>
      </c>
      <c r="K9" s="13" t="n">
        <v>1.35351353487784</v>
      </c>
      <c r="L9" s="13"/>
    </row>
    <row r="10" customFormat="false" ht="14.25" hidden="false" customHeight="false" outlineLevel="0" collapsed="false">
      <c r="B10" s="13"/>
      <c r="C10" s="13"/>
      <c r="D10" s="13" t="n">
        <v>6</v>
      </c>
      <c r="E10" s="13" t="n">
        <v>0.460686787187689</v>
      </c>
      <c r="F10" s="13"/>
      <c r="H10" s="13"/>
      <c r="I10" s="13"/>
      <c r="J10" s="13" t="n">
        <v>6</v>
      </c>
      <c r="K10" s="13" t="n">
        <v>1.36532601745553</v>
      </c>
      <c r="L10" s="13"/>
    </row>
    <row r="11" customFormat="false" ht="14.25" hidden="false" customHeight="false" outlineLevel="0" collapsed="false">
      <c r="B11" s="13"/>
      <c r="C11" s="13" t="n">
        <v>4</v>
      </c>
      <c r="D11" s="13" t="n">
        <v>1</v>
      </c>
      <c r="E11" s="13" t="n">
        <v>0.452264926170944</v>
      </c>
      <c r="F11" s="13" t="n">
        <f aca="false">AVERAGE(E11:E16)</f>
        <v>0.391771531745127</v>
      </c>
      <c r="H11" s="13"/>
      <c r="I11" s="13" t="n">
        <v>4</v>
      </c>
      <c r="J11" s="13" t="n">
        <v>1</v>
      </c>
      <c r="K11" s="13" t="n">
        <v>1.3961697204385</v>
      </c>
      <c r="L11" s="13" t="n">
        <f aca="false">AVERAGE(K11:K16)</f>
        <v>1.18253333148298</v>
      </c>
    </row>
    <row r="12" customFormat="false" ht="14.25" hidden="false" customHeight="false" outlineLevel="0" collapsed="false">
      <c r="B12" s="13"/>
      <c r="C12" s="13"/>
      <c r="D12" s="13" t="n">
        <v>2</v>
      </c>
      <c r="E12" s="13" t="n">
        <v>0.357108825234272</v>
      </c>
      <c r="F12" s="13"/>
      <c r="H12" s="13"/>
      <c r="I12" s="13"/>
      <c r="J12" s="13" t="n">
        <v>2</v>
      </c>
      <c r="K12" s="13" t="n">
        <v>1.10052955196495</v>
      </c>
      <c r="L12" s="13"/>
    </row>
    <row r="13" customFormat="false" ht="14.25" hidden="false" customHeight="false" outlineLevel="0" collapsed="false">
      <c r="B13" s="13"/>
      <c r="C13" s="13"/>
      <c r="D13" s="13" t="n">
        <v>3</v>
      </c>
      <c r="E13" s="13" t="n">
        <v>0.376249421822088</v>
      </c>
      <c r="F13" s="13"/>
      <c r="H13" s="13"/>
      <c r="I13" s="13"/>
      <c r="J13" s="13" t="n">
        <v>3</v>
      </c>
      <c r="K13" s="13" t="n">
        <v>1.11726390097581</v>
      </c>
      <c r="L13" s="13"/>
    </row>
    <row r="14" customFormat="false" ht="14.25" hidden="false" customHeight="false" outlineLevel="0" collapsed="false">
      <c r="B14" s="13"/>
      <c r="C14" s="13"/>
      <c r="D14" s="13" t="n">
        <v>4</v>
      </c>
      <c r="E14" s="13" t="n">
        <v>0.383905657297294</v>
      </c>
      <c r="F14" s="13"/>
      <c r="H14" s="13"/>
      <c r="I14" s="13"/>
      <c r="J14" s="13" t="n">
        <v>4</v>
      </c>
      <c r="K14" s="13" t="n">
        <v>1.1728810023597</v>
      </c>
      <c r="L14" s="13"/>
    </row>
    <row r="15" customFormat="false" ht="14.25" hidden="false" customHeight="false" outlineLevel="0" collapsed="false">
      <c r="B15" s="13"/>
      <c r="C15" s="13"/>
      <c r="D15" s="13" t="n">
        <v>5</v>
      </c>
      <c r="E15" s="13" t="n">
        <v>0.381444725551715</v>
      </c>
      <c r="F15" s="13"/>
      <c r="H15" s="13"/>
      <c r="I15" s="13"/>
      <c r="J15" s="13" t="n">
        <v>5</v>
      </c>
      <c r="K15" s="13" t="n">
        <v>1.14531854562685</v>
      </c>
      <c r="L15" s="13"/>
    </row>
    <row r="16" customFormat="false" ht="14.25" hidden="false" customHeight="false" outlineLevel="0" collapsed="false">
      <c r="B16" s="13"/>
      <c r="C16" s="13"/>
      <c r="D16" s="13" t="n">
        <v>6</v>
      </c>
      <c r="E16" s="13" t="n">
        <v>0.399655634394449</v>
      </c>
      <c r="F16" s="13"/>
      <c r="H16" s="13"/>
      <c r="I16" s="13"/>
      <c r="J16" s="13" t="n">
        <v>6</v>
      </c>
      <c r="K16" s="13" t="n">
        <v>1.16303726753207</v>
      </c>
      <c r="L16" s="13"/>
    </row>
    <row r="17" customFormat="false" ht="14.25" hidden="false" customHeight="false" outlineLevel="0" collapsed="false">
      <c r="B17" s="13"/>
      <c r="C17" s="13" t="n">
        <v>3</v>
      </c>
      <c r="D17" s="13" t="n">
        <v>1</v>
      </c>
      <c r="E17" s="13" t="n">
        <v>0.37356973749347</v>
      </c>
      <c r="F17" s="13" t="n">
        <f aca="false">AVERAGE(E17:E22)</f>
        <v>0.311025562490578</v>
      </c>
      <c r="H17" s="13"/>
      <c r="I17" s="13" t="n">
        <v>3</v>
      </c>
      <c r="J17" s="13" t="n">
        <v>1</v>
      </c>
      <c r="K17" s="13" t="n">
        <v>1.11890452453671</v>
      </c>
      <c r="L17" s="13" t="n">
        <f aca="false">AVERAGE(K17:K22)</f>
        <v>0.920252485829255</v>
      </c>
    </row>
    <row r="18" customFormat="false" ht="14.25" hidden="false" customHeight="false" outlineLevel="0" collapsed="false">
      <c r="B18" s="13"/>
      <c r="C18" s="13"/>
      <c r="D18" s="13" t="n">
        <v>2</v>
      </c>
      <c r="E18" s="13" t="n">
        <v>0.293124547329133</v>
      </c>
      <c r="F18" s="13"/>
      <c r="H18" s="13"/>
      <c r="I18" s="13"/>
      <c r="J18" s="13" t="n">
        <v>2</v>
      </c>
      <c r="K18" s="13" t="n">
        <v>0.852576809597488</v>
      </c>
      <c r="L18" s="13"/>
    </row>
    <row r="19" customFormat="false" ht="14.25" hidden="false" customHeight="false" outlineLevel="0" collapsed="false">
      <c r="B19" s="13"/>
      <c r="C19" s="13"/>
      <c r="D19" s="13" t="n">
        <v>3</v>
      </c>
      <c r="E19" s="13" t="n">
        <v>0.300233913223685</v>
      </c>
      <c r="F19" s="13"/>
      <c r="H19" s="13"/>
      <c r="I19" s="13"/>
      <c r="J19" s="13" t="n">
        <v>3</v>
      </c>
      <c r="K19" s="13" t="n">
        <v>0.855912741105835</v>
      </c>
      <c r="L19" s="13"/>
    </row>
    <row r="20" customFormat="false" ht="14.25" hidden="false" customHeight="false" outlineLevel="0" collapsed="false">
      <c r="B20" s="13"/>
      <c r="C20" s="13"/>
      <c r="D20" s="13" t="n">
        <v>4</v>
      </c>
      <c r="E20" s="13" t="n">
        <v>0.3007261001612</v>
      </c>
      <c r="F20" s="13"/>
      <c r="H20" s="13"/>
      <c r="I20" s="13"/>
      <c r="J20" s="13" t="n">
        <v>4</v>
      </c>
      <c r="K20" s="13" t="n">
        <v>0.8946861179501</v>
      </c>
      <c r="L20" s="13"/>
    </row>
    <row r="21" customFormat="false" ht="14.25" hidden="false" customHeight="false" outlineLevel="0" collapsed="false">
      <c r="B21" s="13"/>
      <c r="C21" s="13"/>
      <c r="D21" s="13" t="n">
        <v>5</v>
      </c>
      <c r="E21" s="13" t="n">
        <v>0.29235892320411</v>
      </c>
      <c r="F21" s="13"/>
      <c r="H21" s="13"/>
      <c r="I21" s="13"/>
      <c r="J21" s="13" t="n">
        <v>5</v>
      </c>
      <c r="K21" s="13" t="n">
        <v>0.885443944608089</v>
      </c>
      <c r="L21" s="13"/>
    </row>
    <row r="22" customFormat="false" ht="14.25" hidden="false" customHeight="false" outlineLevel="0" collapsed="false">
      <c r="B22" s="13"/>
      <c r="C22" s="13"/>
      <c r="D22" s="13" t="n">
        <v>6</v>
      </c>
      <c r="E22" s="13" t="n">
        <v>0.30614015353187</v>
      </c>
      <c r="F22" s="13"/>
      <c r="H22" s="13"/>
      <c r="I22" s="13"/>
      <c r="J22" s="13" t="n">
        <v>6</v>
      </c>
      <c r="K22" s="13" t="n">
        <v>0.913990777177309</v>
      </c>
      <c r="L22" s="13"/>
    </row>
    <row r="23" customFormat="false" ht="14.25" hidden="false" customHeight="false" outlineLevel="0" collapsed="false">
      <c r="B23" s="21"/>
      <c r="C23" s="21"/>
      <c r="D23" s="22"/>
      <c r="E23" s="22"/>
    </row>
    <row r="24" customFormat="false" ht="14.25" hidden="false" customHeight="false" outlineLevel="0" collapsed="false">
      <c r="B24" s="21"/>
      <c r="C24" s="21"/>
      <c r="D24" s="22"/>
      <c r="E24" s="22"/>
    </row>
  </sheetData>
  <mergeCells count="14">
    <mergeCell ref="B5:B22"/>
    <mergeCell ref="C5:C10"/>
    <mergeCell ref="F5:F10"/>
    <mergeCell ref="H5:H22"/>
    <mergeCell ref="I5:I10"/>
    <mergeCell ref="L5:L10"/>
    <mergeCell ref="C11:C16"/>
    <mergeCell ref="F11:F16"/>
    <mergeCell ref="I11:I16"/>
    <mergeCell ref="L11:L16"/>
    <mergeCell ref="C17:C22"/>
    <mergeCell ref="F17:F22"/>
    <mergeCell ref="I17:I22"/>
    <mergeCell ref="L17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true" showOutlineSymbols="true" defaultGridColor="true" view="normal" topLeftCell="A1" colorId="64" zoomScale="66" zoomScaleNormal="66" zoomScalePageLayoutView="100" workbookViewId="0">
      <selection pane="topLeft" activeCell="P7" activeCellId="0" sqref="P7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9.87"/>
    <col collapsed="false" customWidth="true" hidden="false" outlineLevel="0" max="16" min="16" style="0" width="11.2"/>
  </cols>
  <sheetData>
    <row r="1" customFormat="false" ht="51.75" hidden="false" customHeight="true" outlineLevel="0" collapsed="false">
      <c r="A1" s="23" t="s">
        <v>38</v>
      </c>
      <c r="B1" s="24" t="s">
        <v>39</v>
      </c>
      <c r="C1" s="24" t="s">
        <v>40</v>
      </c>
      <c r="D1" s="24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P1" s="23"/>
      <c r="Q1" s="25" t="s">
        <v>52</v>
      </c>
      <c r="R1" s="25"/>
      <c r="S1" s="25"/>
      <c r="T1" s="25" t="s">
        <v>53</v>
      </c>
      <c r="U1" s="25"/>
      <c r="V1" s="25"/>
    </row>
    <row r="2" customFormat="false" ht="14.25" hidden="false" customHeight="false" outlineLevel="0" collapsed="false">
      <c r="A2" s="26" t="n">
        <v>0.483473211126237</v>
      </c>
      <c r="B2" s="27" t="n">
        <v>0.18744</v>
      </c>
      <c r="C2" s="13" t="n">
        <f aca="false">0.001</f>
        <v>0.001</v>
      </c>
      <c r="D2" s="13"/>
      <c r="E2" s="13" t="n">
        <f aca="false">_xlfn.STDEV.P(EXPERIMENTAL!E5:E10)</f>
        <v>0.0480225539451218</v>
      </c>
      <c r="F2" s="13" t="n">
        <f aca="false">(0.0038*A2)</f>
        <v>0.0018371982022797</v>
      </c>
      <c r="G2" s="13" t="n">
        <f aca="false">SQRT(E2^2+F2^2)</f>
        <v>0.0480576839292802</v>
      </c>
      <c r="H2" s="13" t="n">
        <f aca="false">B2-A2</f>
        <v>-0.296033211126237</v>
      </c>
      <c r="I2" s="13" t="n">
        <f aca="false">H2-(C2+D2-G2)</f>
        <v>-0.248975527196957</v>
      </c>
      <c r="J2" s="13" t="n">
        <f aca="false">SQRT(C2^2+D2^2+G2^2)</f>
        <v>0.048068086966787</v>
      </c>
      <c r="K2" s="13" t="n">
        <f aca="false">2*J2</f>
        <v>0.096136173933574</v>
      </c>
      <c r="L2" s="13" t="n">
        <v>5</v>
      </c>
      <c r="M2" s="13" t="n">
        <f aca="false">H2-K2</f>
        <v>-0.392169385059811</v>
      </c>
      <c r="N2" s="13" t="n">
        <f aca="false">H2+K2</f>
        <v>-0.199897037192663</v>
      </c>
      <c r="P2" s="23"/>
      <c r="Q2" s="23" t="s">
        <v>45</v>
      </c>
      <c r="R2" s="23" t="s">
        <v>54</v>
      </c>
      <c r="S2" s="23" t="s">
        <v>55</v>
      </c>
      <c r="T2" s="23" t="s">
        <v>45</v>
      </c>
      <c r="U2" s="23" t="s">
        <v>54</v>
      </c>
      <c r="V2" s="23" t="s">
        <v>55</v>
      </c>
    </row>
    <row r="3" customFormat="false" ht="14.25" hidden="false" customHeight="false" outlineLevel="0" collapsed="false">
      <c r="A3" s="26"/>
      <c r="B3" s="27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P3" s="23" t="s">
        <v>56</v>
      </c>
      <c r="Q3" s="23"/>
      <c r="R3" s="23"/>
      <c r="S3" s="23"/>
      <c r="T3" s="23"/>
      <c r="U3" s="23"/>
      <c r="V3" s="23"/>
    </row>
    <row r="4" customFormat="false" ht="14.25" hidden="false" customHeight="false" outlineLevel="0" collapsed="false">
      <c r="A4" s="26"/>
      <c r="B4" s="2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P4" s="23" t="s">
        <v>57</v>
      </c>
      <c r="Q4" s="23"/>
      <c r="R4" s="23"/>
      <c r="S4" s="23"/>
      <c r="T4" s="23"/>
      <c r="U4" s="23"/>
      <c r="V4" s="23"/>
    </row>
    <row r="5" customFormat="false" ht="14.25" hidden="false" customHeight="false" outlineLevel="0" collapsed="false">
      <c r="A5" s="26"/>
      <c r="B5" s="27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customFormat="false" ht="14.25" hidden="false" customHeight="false" outlineLevel="0" collapsed="false">
      <c r="A6" s="26"/>
      <c r="B6" s="27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customFormat="false" ht="14.25" hidden="false" customHeight="false" outlineLevel="0" collapsed="false">
      <c r="A7" s="26"/>
      <c r="B7" s="27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customFormat="false" ht="14.25" hidden="false" customHeight="false" outlineLevel="0" collapsed="false">
      <c r="A8" s="13" t="n">
        <v>0.391771531745127</v>
      </c>
      <c r="B8" s="28" t="n">
        <v>0.14939</v>
      </c>
      <c r="C8" s="13" t="n">
        <f aca="false">0.001</f>
        <v>0.001</v>
      </c>
      <c r="D8" s="13"/>
      <c r="E8" s="13" t="n">
        <f aca="false">_xlfn.STDEV.P(EXPERIMENTAL!E11:E16)</f>
        <v>0.0298120889065953</v>
      </c>
      <c r="F8" s="13" t="n">
        <f aca="false">(0.0038*A8)</f>
        <v>0.00148873182063148</v>
      </c>
      <c r="G8" s="13" t="n">
        <f aca="false">SQRT(E8^2+F8^2)</f>
        <v>0.0298492373002813</v>
      </c>
      <c r="H8" s="13" t="n">
        <f aca="false">B8-A8</f>
        <v>-0.242381531745127</v>
      </c>
      <c r="I8" s="13" t="n">
        <f aca="false">H8-(C8+D8-G8)</f>
        <v>-0.213532294444846</v>
      </c>
      <c r="J8" s="13" t="n">
        <f aca="false">SQRT(C8^2+D8^2+G8^2)</f>
        <v>0.0298659834495451</v>
      </c>
      <c r="K8" s="13" t="n">
        <f aca="false">2*J8</f>
        <v>0.0597319668990902</v>
      </c>
      <c r="L8" s="13" t="n">
        <v>4</v>
      </c>
      <c r="M8" s="13" t="n">
        <f aca="false">H8-K8</f>
        <v>-0.302113498644217</v>
      </c>
      <c r="N8" s="13" t="n">
        <f aca="false">H8+K8</f>
        <v>-0.182649564846037</v>
      </c>
    </row>
    <row r="9" customFormat="false" ht="14.25" hidden="false" customHeight="false" outlineLevel="0" collapsed="false">
      <c r="A9" s="13"/>
      <c r="B9" s="28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14.25" hidden="false" customHeight="false" outlineLevel="0" collapsed="false">
      <c r="A10" s="13"/>
      <c r="B10" s="28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customFormat="false" ht="14.25" hidden="false" customHeight="false" outlineLevel="0" collapsed="false">
      <c r="A11" s="13"/>
      <c r="B11" s="28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customFormat="false" ht="14.25" hidden="false" customHeight="false" outlineLevel="0" collapsed="false">
      <c r="A12" s="13"/>
      <c r="B12" s="2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customFormat="false" ht="14.25" hidden="false" customHeight="false" outlineLevel="0" collapsed="false">
      <c r="A13" s="13"/>
      <c r="B13" s="2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customFormat="false" ht="14.25" hidden="false" customHeight="false" outlineLevel="0" collapsed="false">
      <c r="A14" s="13" t="n">
        <v>0.311025562490578</v>
      </c>
      <c r="B14" s="28" t="n">
        <v>0.11186</v>
      </c>
      <c r="C14" s="13" t="n">
        <f aca="false">0.001</f>
        <v>0.001</v>
      </c>
      <c r="D14" s="13"/>
      <c r="E14" s="13" t="n">
        <f aca="false">_xlfn.STDEV.P(EXPERIMENTAL!E17:E22)</f>
        <v>0.0283639131988797</v>
      </c>
      <c r="F14" s="13" t="n">
        <f aca="false">(0.0038*A14)</f>
        <v>0.0011818971374642</v>
      </c>
      <c r="G14" s="13" t="n">
        <f aca="false">SQRT(E14^2+F14^2)</f>
        <v>0.0283885267810278</v>
      </c>
      <c r="H14" s="13" t="n">
        <f aca="false">B14-A14</f>
        <v>-0.199165562490578</v>
      </c>
      <c r="I14" s="13" t="n">
        <f aca="false">H14-(C14+D14-G14)</f>
        <v>-0.17177703570955</v>
      </c>
      <c r="J14" s="13" t="n">
        <f aca="false">SQRT(C14^2+D14^2+G14^2)</f>
        <v>0.0284061340699</v>
      </c>
      <c r="K14" s="13" t="n">
        <f aca="false">2*J14</f>
        <v>0.0568122681397999</v>
      </c>
      <c r="L14" s="13" t="n">
        <v>3</v>
      </c>
      <c r="M14" s="13" t="n">
        <f aca="false">H14-K14</f>
        <v>-0.255977830630378</v>
      </c>
      <c r="N14" s="13" t="n">
        <f aca="false">H14+K14</f>
        <v>-0.142353294350778</v>
      </c>
    </row>
    <row r="15" customFormat="false" ht="14.25" hidden="false" customHeight="false" outlineLevel="0" collapsed="false">
      <c r="A15" s="13"/>
      <c r="B15" s="2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customFormat="false" ht="14.25" hidden="false" customHeight="false" outlineLevel="0" collapsed="false">
      <c r="A16" s="13"/>
      <c r="B16" s="2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customFormat="false" ht="14.25" hidden="false" customHeight="false" outlineLevel="0" collapsed="false">
      <c r="A17" s="13"/>
      <c r="B17" s="2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customFormat="false" ht="14.25" hidden="false" customHeight="false" outlineLevel="0" collapsed="false">
      <c r="A18" s="13"/>
      <c r="B18" s="2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customFormat="false" ht="14.25" hidden="false" customHeight="false" outlineLevel="0" collapsed="false">
      <c r="A19" s="13"/>
      <c r="B19" s="2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customFormat="false" ht="14.25" hidden="false" customHeight="false" outlineLevel="0" collapsed="false">
      <c r="A20" s="16" t="n">
        <v>1.37870620464994</v>
      </c>
      <c r="B20" s="28" t="n">
        <v>0.95009</v>
      </c>
      <c r="C20" s="13" t="n">
        <f aca="false">0.001</f>
        <v>0.001</v>
      </c>
      <c r="D20" s="13"/>
      <c r="E20" s="13" t="n">
        <f aca="false">_xlfn.STDEV.P(EXPERIMENTAL!K5:K10)</f>
        <v>0.131460470246177</v>
      </c>
      <c r="F20" s="13" t="n">
        <f aca="false">(0.0038*A20)</f>
        <v>0.00523908357766978</v>
      </c>
      <c r="G20" s="13" t="n">
        <f aca="false">SQRT(E20^2+F20^2)</f>
        <v>0.13156482521586</v>
      </c>
      <c r="H20" s="13" t="n">
        <f aca="false">B20-A20</f>
        <v>-0.428616204649942</v>
      </c>
      <c r="I20" s="13" t="n">
        <f aca="false">H20-(C20+D20-G20)</f>
        <v>-0.298051379434082</v>
      </c>
      <c r="J20" s="13" t="n">
        <f aca="false">SQRT(C20^2+D20^2+G20^2)</f>
        <v>0.131568625568863</v>
      </c>
      <c r="K20" s="13" t="n">
        <f aca="false">2*J20</f>
        <v>0.263137251137727</v>
      </c>
      <c r="L20" s="13" t="n">
        <v>5</v>
      </c>
      <c r="M20" s="13" t="n">
        <f aca="false">H20-K20</f>
        <v>-0.691753455787669</v>
      </c>
      <c r="N20" s="13" t="n">
        <f aca="false">H20+K20</f>
        <v>-0.165478953512215</v>
      </c>
    </row>
    <row r="21" customFormat="false" ht="14.25" hidden="false" customHeight="false" outlineLevel="0" collapsed="false">
      <c r="A21" s="16"/>
      <c r="B21" s="2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customFormat="false" ht="14.25" hidden="false" customHeight="false" outlineLevel="0" collapsed="false">
      <c r="A22" s="16"/>
      <c r="B22" s="2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customFormat="false" ht="14.25" hidden="false" customHeight="false" outlineLevel="0" collapsed="false">
      <c r="A23" s="16"/>
      <c r="B23" s="2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customFormat="false" ht="14.25" hidden="false" customHeight="false" outlineLevel="0" collapsed="false">
      <c r="A24" s="16"/>
      <c r="B24" s="2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customFormat="false" ht="14.25" hidden="false" customHeight="false" outlineLevel="0" collapsed="false">
      <c r="A25" s="16"/>
      <c r="B25" s="2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customFormat="false" ht="14.25" hidden="false" customHeight="false" outlineLevel="0" collapsed="false">
      <c r="A26" s="16" t="n">
        <v>1.18253333148298</v>
      </c>
      <c r="B26" s="28" t="n">
        <v>0.76327</v>
      </c>
      <c r="C26" s="13" t="n">
        <f aca="false">0.001</f>
        <v>0.001</v>
      </c>
      <c r="D26" s="13"/>
      <c r="E26" s="13" t="n">
        <f aca="false">_xlfn.STDEV.P(EXPERIMENTAL!K11:K16)</f>
        <v>0.0987281025116674</v>
      </c>
      <c r="F26" s="13" t="n">
        <f aca="false">(0.0038*A26)</f>
        <v>0.00449362665963532</v>
      </c>
      <c r="G26" s="13" t="n">
        <f aca="false">SQRT(E26^2+F26^2)</f>
        <v>0.0988303137003546</v>
      </c>
      <c r="H26" s="13" t="n">
        <f aca="false">B26-A26</f>
        <v>-0.41926333148298</v>
      </c>
      <c r="I26" s="13" t="n">
        <f aca="false">H26-(C26+D26-G26)</f>
        <v>-0.321433017782625</v>
      </c>
      <c r="J26" s="13" t="n">
        <f aca="false">SQRT(C26^2+D26^2+G26^2)</f>
        <v>0.0988353727473646</v>
      </c>
      <c r="K26" s="13" t="n">
        <f aca="false">2*J26</f>
        <v>0.197670745494729</v>
      </c>
      <c r="L26" s="13" t="n">
        <v>4</v>
      </c>
      <c r="M26" s="13" t="n">
        <f aca="false">H26-K26</f>
        <v>-0.616934076977709</v>
      </c>
      <c r="N26" s="13" t="n">
        <f aca="false">H26+K26</f>
        <v>-0.221592585988251</v>
      </c>
    </row>
    <row r="27" customFormat="false" ht="14.25" hidden="false" customHeight="false" outlineLevel="0" collapsed="false">
      <c r="A27" s="16"/>
      <c r="B27" s="2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customFormat="false" ht="14.25" hidden="false" customHeight="false" outlineLevel="0" collapsed="false">
      <c r="A28" s="16"/>
      <c r="B28" s="2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customFormat="false" ht="14.25" hidden="false" customHeight="false" outlineLevel="0" collapsed="false">
      <c r="A29" s="16"/>
      <c r="B29" s="28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customFormat="false" ht="14.25" hidden="false" customHeight="false" outlineLevel="0" collapsed="false">
      <c r="A30" s="16"/>
      <c r="B30" s="28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customFormat="false" ht="14.25" hidden="false" customHeight="false" outlineLevel="0" collapsed="false">
      <c r="A31" s="16"/>
      <c r="B31" s="28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customFormat="false" ht="14.25" hidden="false" customHeight="false" outlineLevel="0" collapsed="false">
      <c r="A32" s="16" t="n">
        <v>0.920252485829255</v>
      </c>
      <c r="B32" s="28" t="n">
        <v>0.57697</v>
      </c>
      <c r="C32" s="13" t="n">
        <f aca="false">0.001</f>
        <v>0.001</v>
      </c>
      <c r="D32" s="13"/>
      <c r="E32" s="13" t="n">
        <f aca="false">_xlfn.STDEV.P(EXPERIMENTAL!K17:K22)</f>
        <v>0.0913662183111185</v>
      </c>
      <c r="F32" s="13" t="n">
        <f aca="false">(0.0038*A32)</f>
        <v>0.00349695944615117</v>
      </c>
      <c r="G32" s="13" t="n">
        <f aca="false">SQRT(E32^2+F32^2)</f>
        <v>0.0914331153020774</v>
      </c>
      <c r="H32" s="13" t="n">
        <f aca="false">B32-A32</f>
        <v>-0.343282485829255</v>
      </c>
      <c r="I32" s="13" t="n">
        <f aca="false">H32-(C32+D32-G32)</f>
        <v>-0.252849370527178</v>
      </c>
      <c r="J32" s="13" t="n">
        <f aca="false">SQRT(C32^2+D32^2+G32^2)</f>
        <v>0.0914385836167806</v>
      </c>
      <c r="K32" s="13" t="n">
        <f aca="false">2*J32</f>
        <v>0.182877167233561</v>
      </c>
      <c r="L32" s="13" t="n">
        <v>3</v>
      </c>
      <c r="M32" s="13" t="n">
        <f aca="false">H32-K32</f>
        <v>-0.526159653062816</v>
      </c>
      <c r="N32" s="13" t="n">
        <f aca="false">H32+K32</f>
        <v>-0.160405318595694</v>
      </c>
    </row>
    <row r="33" customFormat="false" ht="14.25" hidden="false" customHeight="false" outlineLevel="0" collapsed="false">
      <c r="A33" s="16"/>
      <c r="B33" s="28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customFormat="false" ht="14.25" hidden="false" customHeight="false" outlineLevel="0" collapsed="false">
      <c r="A34" s="16"/>
      <c r="B34" s="28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customFormat="false" ht="14.25" hidden="false" customHeight="false" outlineLevel="0" collapsed="false">
      <c r="A35" s="16"/>
      <c r="B35" s="28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customFormat="false" ht="14.25" hidden="false" customHeight="false" outlineLevel="0" collapsed="false">
      <c r="A36" s="16"/>
      <c r="B36" s="2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customFormat="false" ht="14.25" hidden="false" customHeight="false" outlineLevel="0" collapsed="false">
      <c r="A37" s="16"/>
      <c r="B37" s="2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</sheetData>
  <mergeCells count="86">
    <mergeCell ref="Q1:S1"/>
    <mergeCell ref="T1:V1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J14:J19"/>
    <mergeCell ref="K14:K19"/>
    <mergeCell ref="L14:L19"/>
    <mergeCell ref="M14:M19"/>
    <mergeCell ref="N14:N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J20:J25"/>
    <mergeCell ref="K20:K25"/>
    <mergeCell ref="L20:L25"/>
    <mergeCell ref="M20:M25"/>
    <mergeCell ref="N20:N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J26:J31"/>
    <mergeCell ref="K26:K31"/>
    <mergeCell ref="L26:L31"/>
    <mergeCell ref="M26:M31"/>
    <mergeCell ref="N26:N31"/>
    <mergeCell ref="A32:A37"/>
    <mergeCell ref="B32:B37"/>
    <mergeCell ref="C32:C37"/>
    <mergeCell ref="D32:D37"/>
    <mergeCell ref="E32:E37"/>
    <mergeCell ref="F32:F37"/>
    <mergeCell ref="G32:G37"/>
    <mergeCell ref="H32:H37"/>
    <mergeCell ref="I32:I37"/>
    <mergeCell ref="J32:J37"/>
    <mergeCell ref="K32:K37"/>
    <mergeCell ref="L32:L37"/>
    <mergeCell ref="M32:M37"/>
    <mergeCell ref="N32:N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8"/>
  <sheetViews>
    <sheetView showFormulas="false" showGridLines="true" showRowColHeaders="true" showZeros="true" rightToLeft="false" tabSelected="false" showOutlineSymbols="true" defaultGridColor="true" view="normal" topLeftCell="A1" colorId="64" zoomScale="68" zoomScaleNormal="68" zoomScalePageLayoutView="100" workbookViewId="0">
      <selection pane="topLeft" activeCell="I4" activeCellId="0" sqref="I4"/>
    </sheetView>
  </sheetViews>
  <sheetFormatPr defaultColWidth="8.59765625" defaultRowHeight="14.25" zeroHeight="false" outlineLevelRow="0" outlineLevelCol="0"/>
  <cols>
    <col collapsed="false" customWidth="true" hidden="false" outlineLevel="0" max="4" min="2" style="0" width="16.26"/>
    <col collapsed="false" customWidth="true" hidden="false" outlineLevel="0" max="9" min="6" style="0" width="16.4"/>
    <col collapsed="false" customWidth="true" hidden="false" outlineLevel="0" max="11" min="10" style="0" width="14"/>
    <col collapsed="false" customWidth="true" hidden="false" outlineLevel="0" max="12" min="12" style="0" width="13.6"/>
    <col collapsed="false" customWidth="true" hidden="false" outlineLevel="0" max="15" min="13" style="0" width="16.26"/>
  </cols>
  <sheetData>
    <row r="2" customFormat="false" ht="46.25" hidden="false" customHeight="false" outlineLevel="0" collapsed="false">
      <c r="B2" s="17" t="s">
        <v>33</v>
      </c>
      <c r="C2" s="2" t="s">
        <v>34</v>
      </c>
      <c r="D2" s="3" t="s">
        <v>36</v>
      </c>
      <c r="F2" s="17" t="s">
        <v>33</v>
      </c>
      <c r="G2" s="2" t="s">
        <v>34</v>
      </c>
      <c r="H2" s="2" t="s">
        <v>58</v>
      </c>
      <c r="I2" s="2" t="s">
        <v>36</v>
      </c>
      <c r="J2" s="2" t="s">
        <v>59</v>
      </c>
      <c r="K2" s="3" t="s">
        <v>60</v>
      </c>
      <c r="M2" s="17" t="s">
        <v>33</v>
      </c>
      <c r="N2" s="2" t="s">
        <v>34</v>
      </c>
      <c r="O2" s="3" t="s">
        <v>36</v>
      </c>
    </row>
    <row r="3" customFormat="false" ht="16.4" hidden="false" customHeight="false" outlineLevel="0" collapsed="false">
      <c r="B3" s="29" t="s">
        <v>14</v>
      </c>
      <c r="C3" s="5" t="s">
        <v>14</v>
      </c>
      <c r="D3" s="6" t="s">
        <v>17</v>
      </c>
      <c r="F3" s="18" t="s">
        <v>14</v>
      </c>
      <c r="G3" s="19" t="s">
        <v>14</v>
      </c>
      <c r="H3" s="19" t="s">
        <v>14</v>
      </c>
      <c r="I3" s="19" t="s">
        <v>17</v>
      </c>
      <c r="J3" s="19" t="s">
        <v>17</v>
      </c>
      <c r="K3" s="30" t="s">
        <v>61</v>
      </c>
      <c r="M3" s="29" t="s">
        <v>14</v>
      </c>
      <c r="N3" s="5" t="s">
        <v>14</v>
      </c>
      <c r="O3" s="6" t="s">
        <v>17</v>
      </c>
    </row>
    <row r="4" customFormat="false" ht="14.25" hidden="false" customHeight="false" outlineLevel="0" collapsed="false">
      <c r="B4" s="31" t="n">
        <v>60</v>
      </c>
      <c r="C4" s="11" t="n">
        <v>5</v>
      </c>
      <c r="D4" s="32" t="n">
        <v>0.18744</v>
      </c>
      <c r="F4" s="31" t="n">
        <v>60</v>
      </c>
      <c r="G4" s="12" t="n">
        <v>2</v>
      </c>
      <c r="H4" s="11" t="n">
        <v>3</v>
      </c>
      <c r="I4" s="11" t="n">
        <v>0.12178</v>
      </c>
      <c r="J4" s="33"/>
      <c r="K4" s="34"/>
      <c r="M4" s="31" t="n">
        <v>60</v>
      </c>
      <c r="N4" s="11" t="n">
        <v>5</v>
      </c>
      <c r="O4" s="32" t="n">
        <v>0.18503</v>
      </c>
    </row>
    <row r="5" customFormat="false" ht="14.25" hidden="false" customHeight="false" outlineLevel="0" collapsed="false">
      <c r="B5" s="31"/>
      <c r="C5" s="13" t="n">
        <v>4</v>
      </c>
      <c r="D5" s="16" t="n">
        <v>0.14939</v>
      </c>
      <c r="F5" s="31"/>
      <c r="G5" s="12"/>
      <c r="H5" s="13" t="n">
        <v>2</v>
      </c>
      <c r="I5" s="13" t="n">
        <v>0.11736</v>
      </c>
      <c r="J5" s="35"/>
      <c r="K5" s="36"/>
      <c r="M5" s="31"/>
      <c r="N5" s="26" t="n">
        <v>4.5</v>
      </c>
      <c r="O5" s="37" t="n">
        <v>0.16613</v>
      </c>
    </row>
    <row r="6" customFormat="false" ht="14.25" hidden="false" customHeight="false" outlineLevel="0" collapsed="false">
      <c r="B6" s="31"/>
      <c r="C6" s="13" t="n">
        <v>3</v>
      </c>
      <c r="D6" s="16" t="n">
        <v>0.11186</v>
      </c>
      <c r="F6" s="31"/>
      <c r="G6" s="12"/>
      <c r="H6" s="13" t="n">
        <v>1.75</v>
      </c>
      <c r="I6" s="13" t="n">
        <v>0.096397</v>
      </c>
      <c r="J6" s="35"/>
      <c r="K6" s="36"/>
      <c r="M6" s="31"/>
      <c r="N6" s="26" t="n">
        <v>4</v>
      </c>
      <c r="O6" s="37" t="n">
        <v>0.1474</v>
      </c>
    </row>
    <row r="7" customFormat="false" ht="14.25" hidden="false" customHeight="false" outlineLevel="0" collapsed="false">
      <c r="B7" s="31"/>
      <c r="C7" s="15" t="n">
        <v>2</v>
      </c>
      <c r="D7" s="38" t="n">
        <v>0.074614</v>
      </c>
      <c r="F7" s="31"/>
      <c r="G7" s="12"/>
      <c r="H7" s="13" t="n">
        <v>1.5</v>
      </c>
      <c r="I7" s="13" t="n">
        <v>0.095903</v>
      </c>
      <c r="J7" s="35"/>
      <c r="K7" s="36"/>
      <c r="M7" s="31"/>
      <c r="N7" s="26" t="n">
        <v>3.5</v>
      </c>
      <c r="O7" s="37" t="n">
        <v>0.12881</v>
      </c>
    </row>
    <row r="8" customFormat="false" ht="14.25" hidden="false" customHeight="false" outlineLevel="0" collapsed="false">
      <c r="B8" s="39" t="n">
        <v>40</v>
      </c>
      <c r="C8" s="26" t="n">
        <v>5</v>
      </c>
      <c r="D8" s="37" t="n">
        <v>0.95009</v>
      </c>
      <c r="F8" s="31"/>
      <c r="G8" s="12"/>
      <c r="H8" s="13" t="n">
        <v>1.25</v>
      </c>
      <c r="I8" s="13" t="n">
        <v>0.087951</v>
      </c>
      <c r="J8" s="35"/>
      <c r="K8" s="36"/>
      <c r="M8" s="31"/>
      <c r="N8" s="26" t="n">
        <v>3</v>
      </c>
      <c r="O8" s="37" t="n">
        <v>0.11033</v>
      </c>
    </row>
    <row r="9" customFormat="false" ht="14.25" hidden="false" customHeight="false" outlineLevel="0" collapsed="false">
      <c r="B9" s="39"/>
      <c r="C9" s="13" t="n">
        <v>4</v>
      </c>
      <c r="D9" s="16" t="n">
        <v>0.76327</v>
      </c>
      <c r="F9" s="31"/>
      <c r="G9" s="12"/>
      <c r="H9" s="13" t="n">
        <v>1</v>
      </c>
      <c r="I9" s="13" t="n">
        <v>0.08245</v>
      </c>
      <c r="J9" s="35"/>
      <c r="K9" s="36"/>
      <c r="M9" s="31"/>
      <c r="N9" s="26" t="n">
        <v>2.5</v>
      </c>
      <c r="O9" s="37" t="n">
        <v>0.091929</v>
      </c>
    </row>
    <row r="10" customFormat="false" ht="14.25" hidden="false" customHeight="false" outlineLevel="0" collapsed="false">
      <c r="B10" s="39"/>
      <c r="C10" s="13" t="n">
        <v>3</v>
      </c>
      <c r="D10" s="16" t="n">
        <v>0.57697</v>
      </c>
      <c r="F10" s="31"/>
      <c r="G10" s="12"/>
      <c r="H10" s="13" t="n">
        <v>0.75</v>
      </c>
      <c r="I10" s="13" t="n">
        <v>0.079757</v>
      </c>
      <c r="J10" s="35"/>
      <c r="K10" s="36"/>
      <c r="M10" s="31"/>
      <c r="N10" s="26" t="n">
        <v>2</v>
      </c>
      <c r="O10" s="37" t="n">
        <v>0.073574</v>
      </c>
    </row>
    <row r="11" customFormat="false" ht="14.25" hidden="false" customHeight="false" outlineLevel="0" collapsed="false">
      <c r="B11" s="39"/>
      <c r="C11" s="15" t="n">
        <v>2</v>
      </c>
      <c r="D11" s="38" t="n">
        <v>0.38911</v>
      </c>
      <c r="F11" s="31"/>
      <c r="G11" s="12"/>
      <c r="H11" s="13" t="n">
        <v>0.5</v>
      </c>
      <c r="I11" s="13" t="n">
        <v>0.077261</v>
      </c>
      <c r="J11" s="35"/>
      <c r="K11" s="36"/>
      <c r="M11" s="31"/>
      <c r="N11" s="13" t="n">
        <v>1.5</v>
      </c>
      <c r="O11" s="16" t="n">
        <v>0.055235</v>
      </c>
    </row>
    <row r="12" customFormat="false" ht="14.25" hidden="false" customHeight="false" outlineLevel="0" collapsed="false">
      <c r="B12" s="40" t="s">
        <v>62</v>
      </c>
      <c r="C12" s="40"/>
      <c r="D12" s="40"/>
      <c r="F12" s="31"/>
      <c r="G12" s="12"/>
      <c r="H12" s="13" t="n">
        <v>0.35</v>
      </c>
      <c r="I12" s="13" t="n">
        <v>0.075513</v>
      </c>
      <c r="J12" s="35"/>
      <c r="K12" s="36"/>
      <c r="M12" s="31"/>
      <c r="N12" s="13" t="n">
        <v>1</v>
      </c>
      <c r="O12" s="16" t="n">
        <v>0.036882</v>
      </c>
    </row>
    <row r="13" customFormat="false" ht="14.25" hidden="false" customHeight="false" outlineLevel="0" collapsed="false">
      <c r="B13" s="40"/>
      <c r="C13" s="40"/>
      <c r="D13" s="40"/>
      <c r="F13" s="31"/>
      <c r="G13" s="12"/>
      <c r="H13" s="13" t="n">
        <v>0.25</v>
      </c>
      <c r="I13" s="13" t="n">
        <v>0.074614</v>
      </c>
      <c r="J13" s="13" t="n">
        <v>0.073062</v>
      </c>
      <c r="K13" s="41" t="n">
        <f aca="false">ABS(I13-J13)/I13</f>
        <v>0.0208003859865441</v>
      </c>
      <c r="M13" s="31"/>
      <c r="N13" s="13" t="n">
        <v>0.5</v>
      </c>
      <c r="O13" s="16" t="n">
        <v>0.018481</v>
      </c>
    </row>
    <row r="14" customFormat="false" ht="14.25" hidden="false" customHeight="false" outlineLevel="0" collapsed="false">
      <c r="B14" s="42"/>
      <c r="C14" s="42"/>
      <c r="D14" s="42"/>
      <c r="F14" s="31"/>
      <c r="G14" s="12"/>
      <c r="H14" s="13" t="n">
        <v>0.15</v>
      </c>
      <c r="I14" s="13" t="n">
        <v>0.073735</v>
      </c>
      <c r="J14" s="35"/>
      <c r="K14" s="36"/>
      <c r="M14" s="31"/>
      <c r="N14" s="13" t="n">
        <v>0.1</v>
      </c>
      <c r="O14" s="16" t="n">
        <v>0.0037041</v>
      </c>
    </row>
    <row r="15" customFormat="false" ht="14.25" hidden="false" customHeight="false" outlineLevel="0" collapsed="false">
      <c r="B15" s="42"/>
      <c r="C15" s="42"/>
      <c r="D15" s="42"/>
      <c r="F15" s="31"/>
      <c r="G15" s="12"/>
      <c r="H15" s="15" t="n">
        <v>0.1</v>
      </c>
      <c r="I15" s="15" t="n">
        <v>0.073346</v>
      </c>
      <c r="J15" s="43"/>
      <c r="K15" s="44"/>
      <c r="M15" s="31"/>
      <c r="N15" s="15" t="n">
        <v>0.05</v>
      </c>
      <c r="O15" s="38" t="n">
        <v>0.0018526</v>
      </c>
    </row>
    <row r="16" customFormat="false" ht="14.25" hidden="false" customHeight="false" outlineLevel="0" collapsed="false">
      <c r="B16" s="42"/>
      <c r="C16" s="42"/>
      <c r="D16" s="42"/>
      <c r="F16" s="31" t="n">
        <v>40</v>
      </c>
      <c r="G16" s="12" t="n">
        <v>2</v>
      </c>
      <c r="H16" s="11" t="n">
        <v>4</v>
      </c>
      <c r="I16" s="11" t="n">
        <v>0.81888</v>
      </c>
      <c r="J16" s="11" t="n">
        <v>0.40246</v>
      </c>
      <c r="K16" s="45" t="n">
        <f aca="false">ABS(I16-J16)/I16</f>
        <v>0.508523837436499</v>
      </c>
      <c r="M16" s="39" t="n">
        <v>40</v>
      </c>
      <c r="N16" s="11" t="n">
        <v>5</v>
      </c>
      <c r="O16" s="37" t="n">
        <v>0.94507</v>
      </c>
    </row>
    <row r="17" customFormat="false" ht="14.25" hidden="false" customHeight="false" outlineLevel="0" collapsed="false">
      <c r="B17" s="42"/>
      <c r="C17" s="42"/>
      <c r="D17" s="42"/>
      <c r="F17" s="31"/>
      <c r="G17" s="12"/>
      <c r="H17" s="13" t="n">
        <v>2</v>
      </c>
      <c r="I17" s="13" t="n">
        <v>0.57563</v>
      </c>
      <c r="J17" s="13" t="n">
        <v>0.39208</v>
      </c>
      <c r="K17" s="41" t="n">
        <f aca="false">ABS(I17-J17)/I17</f>
        <v>0.318868022861908</v>
      </c>
      <c r="M17" s="39"/>
      <c r="N17" s="26" t="n">
        <v>4.5</v>
      </c>
      <c r="O17" s="16" t="n">
        <v>0.85201</v>
      </c>
    </row>
    <row r="18" customFormat="false" ht="14.25" hidden="false" customHeight="false" outlineLevel="0" collapsed="false">
      <c r="B18" s="42"/>
      <c r="C18" s="42"/>
      <c r="D18" s="42"/>
      <c r="F18" s="31"/>
      <c r="G18" s="12"/>
      <c r="H18" s="13" t="n">
        <v>1</v>
      </c>
      <c r="I18" s="13" t="n">
        <v>0.41983</v>
      </c>
      <c r="J18" s="13" t="n">
        <v>0.38838</v>
      </c>
      <c r="K18" s="41" t="n">
        <f aca="false">ABS(I18-J18)/I18</f>
        <v>0.0749112736107472</v>
      </c>
      <c r="M18" s="39"/>
      <c r="N18" s="26" t="n">
        <v>4</v>
      </c>
      <c r="O18" s="16" t="n">
        <v>0.75932</v>
      </c>
    </row>
    <row r="19" customFormat="false" ht="14.25" hidden="false" customHeight="false" outlineLevel="0" collapsed="false">
      <c r="B19" s="42"/>
      <c r="C19" s="42"/>
      <c r="D19" s="42"/>
      <c r="F19" s="31"/>
      <c r="G19" s="12"/>
      <c r="H19" s="13" t="n">
        <v>0.5</v>
      </c>
      <c r="I19" s="13" t="n">
        <v>0.39675</v>
      </c>
      <c r="J19" s="13" t="n">
        <v>0.38689</v>
      </c>
      <c r="K19" s="41" t="n">
        <f aca="false">ABS(I19-J19)/I19</f>
        <v>0.0248519218651543</v>
      </c>
      <c r="M19" s="39"/>
      <c r="N19" s="26" t="n">
        <v>3.5</v>
      </c>
      <c r="O19" s="16" t="n">
        <v>0.66674</v>
      </c>
    </row>
    <row r="20" customFormat="false" ht="14.25" hidden="false" customHeight="false" outlineLevel="0" collapsed="false">
      <c r="B20" s="42"/>
      <c r="C20" s="42"/>
      <c r="D20" s="42"/>
      <c r="F20" s="31"/>
      <c r="G20" s="12"/>
      <c r="H20" s="13" t="n">
        <v>0.25</v>
      </c>
      <c r="I20" s="13" t="n">
        <v>0.38911</v>
      </c>
      <c r="J20" s="13" t="n">
        <v>0.38621</v>
      </c>
      <c r="K20" s="41" t="n">
        <f aca="false">ABS(I20-J20)/I20</f>
        <v>0.00745290534810211</v>
      </c>
      <c r="M20" s="39"/>
      <c r="N20" s="26" t="n">
        <v>3</v>
      </c>
      <c r="O20" s="16" t="n">
        <v>0.57403</v>
      </c>
    </row>
    <row r="21" customFormat="false" ht="14.25" hidden="false" customHeight="false" outlineLevel="0" collapsed="false">
      <c r="B21" s="42"/>
      <c r="C21" s="42"/>
      <c r="D21" s="42"/>
      <c r="F21" s="31"/>
      <c r="G21" s="12"/>
      <c r="H21" s="13" t="n">
        <v>0.125</v>
      </c>
      <c r="I21" s="13" t="n">
        <v>0.38715</v>
      </c>
      <c r="J21" s="13" t="n">
        <v>0.38595</v>
      </c>
      <c r="K21" s="41" t="n">
        <f aca="false">ABS(I21-J21)/I21</f>
        <v>0.00309957380860126</v>
      </c>
      <c r="M21" s="39"/>
      <c r="N21" s="26" t="n">
        <v>2.5</v>
      </c>
      <c r="O21" s="16" t="n">
        <v>0.48092</v>
      </c>
    </row>
    <row r="22" customFormat="false" ht="14.25" hidden="false" customHeight="false" outlineLevel="0" collapsed="false">
      <c r="B22" s="42"/>
      <c r="C22" s="42"/>
      <c r="D22" s="42"/>
      <c r="F22" s="31"/>
      <c r="G22" s="12"/>
      <c r="H22" s="13" t="n">
        <v>0.0625</v>
      </c>
      <c r="I22" s="13" t="n">
        <v>0.38654</v>
      </c>
      <c r="J22" s="13" t="n">
        <v>0.38586</v>
      </c>
      <c r="K22" s="41" t="n">
        <f aca="false">ABS(I22-J22)/I22</f>
        <v>0.00175919697832052</v>
      </c>
      <c r="M22" s="39"/>
      <c r="N22" s="26" t="n">
        <v>2</v>
      </c>
      <c r="O22" s="16" t="n">
        <v>0.38715</v>
      </c>
    </row>
    <row r="23" customFormat="false" ht="14.25" hidden="false" customHeight="false" outlineLevel="0" collapsed="false">
      <c r="B23" s="42"/>
      <c r="C23" s="42"/>
      <c r="D23" s="42"/>
      <c r="F23" s="31"/>
      <c r="G23" s="12"/>
      <c r="H23" s="15" t="n">
        <v>0.03125</v>
      </c>
      <c r="I23" s="15" t="n">
        <v>0.38598</v>
      </c>
      <c r="J23" s="15" t="n">
        <v>0.38572</v>
      </c>
      <c r="K23" s="46" t="n">
        <f aca="false">ABS(I23-J23)/I23</f>
        <v>0.00067361003160781</v>
      </c>
      <c r="M23" s="39"/>
      <c r="N23" s="13" t="n">
        <v>1.5</v>
      </c>
      <c r="O23" s="16" t="n">
        <v>0.29246</v>
      </c>
    </row>
    <row r="24" customFormat="false" ht="14.25" hidden="false" customHeight="false" outlineLevel="0" collapsed="false">
      <c r="F24" s="47" t="s">
        <v>63</v>
      </c>
      <c r="G24" s="47"/>
      <c r="H24" s="47"/>
      <c r="I24" s="47"/>
      <c r="J24" s="47"/>
      <c r="K24" s="47"/>
      <c r="M24" s="39"/>
      <c r="N24" s="13" t="n">
        <v>1</v>
      </c>
      <c r="O24" s="16" t="n">
        <v>0.19657</v>
      </c>
    </row>
    <row r="25" customFormat="false" ht="14.25" hidden="false" customHeight="false" outlineLevel="0" collapsed="false">
      <c r="F25" s="47"/>
      <c r="G25" s="47"/>
      <c r="H25" s="47"/>
      <c r="I25" s="47"/>
      <c r="J25" s="47"/>
      <c r="K25" s="47"/>
      <c r="M25" s="39"/>
      <c r="N25" s="13" t="n">
        <v>0.5</v>
      </c>
      <c r="O25" s="16" t="n">
        <v>0.099181</v>
      </c>
    </row>
    <row r="26" customFormat="false" ht="14.25" hidden="false" customHeight="false" outlineLevel="0" collapsed="false">
      <c r="M26" s="39"/>
      <c r="N26" s="13" t="n">
        <v>0.1</v>
      </c>
      <c r="O26" s="16" t="n">
        <v>0.019995</v>
      </c>
    </row>
    <row r="27" customFormat="false" ht="14.25" hidden="false" customHeight="false" outlineLevel="0" collapsed="false">
      <c r="M27" s="39"/>
      <c r="N27" s="15" t="n">
        <v>0.05</v>
      </c>
      <c r="O27" s="38" t="n">
        <v>0.010008</v>
      </c>
    </row>
    <row r="28" customFormat="false" ht="14.25" hidden="false" customHeight="false" outlineLevel="0" collapsed="false">
      <c r="M28" s="40" t="s">
        <v>64</v>
      </c>
      <c r="N28" s="40"/>
      <c r="O28" s="40"/>
    </row>
    <row r="29" customFormat="false" ht="14.25" hidden="false" customHeight="false" outlineLevel="0" collapsed="false">
      <c r="M29" s="40"/>
      <c r="N29" s="40"/>
      <c r="O29" s="40"/>
    </row>
    <row r="31" customFormat="false" ht="14.25" hidden="false" customHeight="false" outlineLevel="0" collapsed="false">
      <c r="H31" s="42"/>
      <c r="I31" s="42"/>
    </row>
    <row r="32" customFormat="false" ht="14.25" hidden="false" customHeight="false" outlineLevel="0" collapsed="false">
      <c r="H32" s="42"/>
      <c r="I32" s="42"/>
    </row>
    <row r="33" customFormat="false" ht="14.25" hidden="false" customHeight="false" outlineLevel="0" collapsed="false">
      <c r="H33" s="42"/>
      <c r="I33" s="42"/>
    </row>
    <row r="34" customFormat="false" ht="14.25" hidden="false" customHeight="false" outlineLevel="0" collapsed="false">
      <c r="H34" s="42"/>
      <c r="I34" s="42"/>
    </row>
    <row r="35" customFormat="false" ht="14.25" hidden="false" customHeight="false" outlineLevel="0" collapsed="false">
      <c r="H35" s="42"/>
      <c r="I35" s="42"/>
    </row>
    <row r="36" customFormat="false" ht="14.25" hidden="false" customHeight="false" outlineLevel="0" collapsed="false">
      <c r="H36" s="42"/>
      <c r="I36" s="42"/>
    </row>
    <row r="37" customFormat="false" ht="14.25" hidden="false" customHeight="false" outlineLevel="0" collapsed="false">
      <c r="H37" s="42"/>
      <c r="I37" s="42"/>
    </row>
    <row r="38" customFormat="false" ht="14.25" hidden="false" customHeight="false" outlineLevel="0" collapsed="false">
      <c r="H38" s="42"/>
      <c r="I38" s="42"/>
    </row>
  </sheetData>
  <mergeCells count="11">
    <mergeCell ref="B4:B7"/>
    <mergeCell ref="F4:F15"/>
    <mergeCell ref="G4:G15"/>
    <mergeCell ref="M4:M15"/>
    <mergeCell ref="B8:B11"/>
    <mergeCell ref="B12:D13"/>
    <mergeCell ref="F16:F23"/>
    <mergeCell ref="G16:G23"/>
    <mergeCell ref="M16:M27"/>
    <mergeCell ref="F24:K25"/>
    <mergeCell ref="M28:O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2026-04-07T14:09:05Z</dcterms:created>
  <dc:creator>emile brousseau</dc:creator>
  <dc:description/>
  <dc:language>en-US</dc:language>
  <cp:lastModifiedBy/>
  <dcterms:modified xsi:type="dcterms:W3CDTF">2026-04-13T03:52:28Z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